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+W\Académico\Ingenieria en Sistemas de Información - UTN FRC\2026\SIM 4K2\TP4\"/>
    </mc:Choice>
  </mc:AlternateContent>
  <xr:revisionPtr revIDLastSave="0" documentId="13_ncr:1_{E9D882F7-93AD-4A75-B1FF-D43228B73921}" xr6:coauthVersionLast="47" xr6:coauthVersionMax="47" xr10:uidLastSave="{00000000-0000-0000-0000-000000000000}"/>
  <bookViews>
    <workbookView xWindow="28680" yWindow="-120" windowWidth="29040" windowHeight="15840" xr2:uid="{856C5F12-47D1-458B-91E9-0641F02E5C58}"/>
  </bookViews>
  <sheets>
    <sheet name="TP4 - GRUPO 16" sheetId="4" r:id="rId1"/>
    <sheet name="DEFINICIONES DEL SISTEMA" sheetId="2" r:id="rId2"/>
    <sheet name="SIMULACIÓ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53" i="1" l="1"/>
  <c r="AP53" i="1"/>
  <c r="AQ53" i="1"/>
  <c r="AS53" i="1" s="1"/>
  <c r="AR53" i="1"/>
  <c r="AT53" i="1" s="1"/>
  <c r="AN53" i="1"/>
  <c r="AO53" i="1" s="1"/>
  <c r="AM41" i="1"/>
  <c r="AM42" i="1"/>
  <c r="AO42" i="1" s="1"/>
  <c r="AM43" i="1"/>
  <c r="AO43" i="1" s="1"/>
  <c r="AM44" i="1"/>
  <c r="AM45" i="1"/>
  <c r="AM46" i="1"/>
  <c r="AM47" i="1"/>
  <c r="AM48" i="1"/>
  <c r="AM49" i="1"/>
  <c r="AM50" i="1"/>
  <c r="AM51" i="1"/>
  <c r="AO51" i="1" s="1"/>
  <c r="AM52" i="1"/>
  <c r="AM53" i="1"/>
  <c r="AM40" i="1"/>
  <c r="AO40" i="1" s="1"/>
  <c r="AL53" i="1"/>
  <c r="AK53" i="1"/>
  <c r="AJ53" i="1"/>
  <c r="AI53" i="1"/>
  <c r="AE53" i="1"/>
  <c r="AF53" i="1"/>
  <c r="AG53" i="1" s="1"/>
  <c r="AC53" i="1"/>
  <c r="Z53" i="1"/>
  <c r="X53" i="1"/>
  <c r="T53" i="1"/>
  <c r="N53" i="1"/>
  <c r="J53" i="1"/>
  <c r="I53" i="1"/>
  <c r="H53" i="1"/>
  <c r="D53" i="1"/>
  <c r="E53" i="1" s="1" a="1"/>
  <c r="E53" i="1" s="1"/>
  <c r="BC52" i="1"/>
  <c r="BC51" i="1"/>
  <c r="AP52" i="1"/>
  <c r="AT52" i="1" s="1"/>
  <c r="AQ52" i="1"/>
  <c r="AS52" i="1" s="1"/>
  <c r="AU52" i="1" s="1"/>
  <c r="AR52" i="1"/>
  <c r="AL52" i="1"/>
  <c r="AO52" i="1"/>
  <c r="AN52" i="1"/>
  <c r="AK52" i="1"/>
  <c r="AJ52" i="1"/>
  <c r="AI52" i="1"/>
  <c r="AE52" i="1"/>
  <c r="AF52" i="1"/>
  <c r="AG52" i="1"/>
  <c r="AB52" i="1"/>
  <c r="AC52" i="1"/>
  <c r="X52" i="1"/>
  <c r="T51" i="1"/>
  <c r="N52" i="1"/>
  <c r="N51" i="1"/>
  <c r="M51" i="1"/>
  <c r="I51" i="1"/>
  <c r="I48" i="1"/>
  <c r="I45" i="1"/>
  <c r="I43" i="1"/>
  <c r="G52" i="1"/>
  <c r="AR51" i="1"/>
  <c r="AN51" i="1"/>
  <c r="AL51" i="1"/>
  <c r="AK51" i="1"/>
  <c r="AJ51" i="1"/>
  <c r="AI51" i="1"/>
  <c r="AF51" i="1"/>
  <c r="AG51" i="1" s="1"/>
  <c r="AE51" i="1"/>
  <c r="AB51" i="1"/>
  <c r="AC51" i="1"/>
  <c r="AI50" i="1"/>
  <c r="X50" i="1"/>
  <c r="X51" i="1" s="1"/>
  <c r="G50" i="1"/>
  <c r="AB48" i="1"/>
  <c r="AB49" i="1" s="1"/>
  <c r="AB50" i="1" s="1"/>
  <c r="G49" i="1"/>
  <c r="AR48" i="1"/>
  <c r="AR49" i="1" s="1"/>
  <c r="AR50" i="1" s="1"/>
  <c r="AG41" i="1"/>
  <c r="AG42" i="1"/>
  <c r="AG40" i="1"/>
  <c r="AE48" i="1"/>
  <c r="AE49" i="1" s="1"/>
  <c r="AE50" i="1" s="1"/>
  <c r="AO41" i="1"/>
  <c r="AO44" i="1"/>
  <c r="AL41" i="1"/>
  <c r="AL40" i="1"/>
  <c r="G48" i="1"/>
  <c r="AN47" i="1"/>
  <c r="AN48" i="1" s="1"/>
  <c r="AN49" i="1" s="1"/>
  <c r="AN50" i="1" s="1"/>
  <c r="AK47" i="1"/>
  <c r="AI41" i="1"/>
  <c r="AI42" i="1"/>
  <c r="AI43" i="1"/>
  <c r="AI44" i="1"/>
  <c r="AI45" i="1"/>
  <c r="AI46" i="1"/>
  <c r="AI47" i="1"/>
  <c r="AI48" i="1"/>
  <c r="AI49" i="1"/>
  <c r="AI40" i="1"/>
  <c r="S46" i="1"/>
  <c r="AO45" i="1"/>
  <c r="AC45" i="1"/>
  <c r="AC46" i="1" s="1"/>
  <c r="AC47" i="1" s="1"/>
  <c r="AC48" i="1" s="1"/>
  <c r="AC49" i="1" s="1"/>
  <c r="AC50" i="1" s="1"/>
  <c r="AF43" i="1"/>
  <c r="AF44" i="1" s="1"/>
  <c r="AF45" i="1" s="1"/>
  <c r="AF46" i="1" s="1"/>
  <c r="AF47" i="1" s="1"/>
  <c r="AG47" i="1" s="1"/>
  <c r="G45" i="1"/>
  <c r="P44" i="1"/>
  <c r="AC42" i="1"/>
  <c r="AC43" i="1" s="1"/>
  <c r="I40" i="1"/>
  <c r="G43" i="1"/>
  <c r="AJ42" i="1"/>
  <c r="AL42" i="1" s="1"/>
  <c r="S41" i="1"/>
  <c r="G40" i="1"/>
  <c r="AU53" i="1" l="1"/>
  <c r="C53" i="1"/>
  <c r="AG44" i="1"/>
  <c r="AG43" i="1"/>
  <c r="AF48" i="1"/>
  <c r="AG46" i="1"/>
  <c r="AG45" i="1"/>
  <c r="AO46" i="1"/>
  <c r="AJ43" i="1"/>
  <c r="AL43" i="1" s="1"/>
  <c r="AG48" i="1" l="1"/>
  <c r="AF49" i="1"/>
  <c r="AJ44" i="1"/>
  <c r="AO47" i="1" l="1"/>
  <c r="AF50" i="1"/>
  <c r="AG50" i="1" s="1"/>
  <c r="AG49" i="1"/>
  <c r="AJ45" i="1"/>
  <c r="AL44" i="1"/>
  <c r="G39" i="1"/>
  <c r="C39" i="1"/>
  <c r="AO48" i="1" l="1"/>
  <c r="AL45" i="1"/>
  <c r="AJ46" i="1"/>
  <c r="AI39" i="1"/>
  <c r="AO49" i="1" l="1"/>
  <c r="AO50" i="1"/>
  <c r="AJ47" i="1"/>
  <c r="AL46" i="1"/>
  <c r="C6" i="1"/>
  <c r="C2" i="1"/>
  <c r="H39" i="1"/>
  <c r="D40" i="1" s="1"/>
  <c r="AL47" i="1" l="1"/>
  <c r="AJ48" i="1"/>
  <c r="E40" i="1" a="1"/>
  <c r="E40" i="1" s="1"/>
  <c r="AP40" i="1"/>
  <c r="J40" i="1"/>
  <c r="C7" i="1"/>
  <c r="D7" i="1"/>
  <c r="D3" i="1"/>
  <c r="C3" i="1"/>
  <c r="C40" i="1"/>
  <c r="H40" i="1"/>
  <c r="AL48" i="1" l="1"/>
  <c r="AJ49" i="1"/>
  <c r="Z46" i="1"/>
  <c r="Z51" i="1"/>
  <c r="Z41" i="1"/>
  <c r="Z44" i="1"/>
  <c r="D41" i="1"/>
  <c r="AP41" i="1" s="1"/>
  <c r="H41" i="1"/>
  <c r="AT40" i="1"/>
  <c r="AS40" i="1"/>
  <c r="AU40" i="1" s="1"/>
  <c r="B40" i="1"/>
  <c r="AL49" i="1" l="1"/>
  <c r="AJ50" i="1"/>
  <c r="AL50" i="1" s="1"/>
  <c r="E41" i="1" a="1"/>
  <c r="E41" i="1" s="1"/>
  <c r="H42" i="1"/>
  <c r="D43" i="1" s="1"/>
  <c r="C41" i="1"/>
  <c r="T41" i="1"/>
  <c r="D42" i="1" s="1"/>
  <c r="AP43" i="1" l="1"/>
  <c r="AT43" i="1" s="1"/>
  <c r="J43" i="1"/>
  <c r="H43" i="1"/>
  <c r="E43" i="1" a="1"/>
  <c r="E43" i="1" s="1"/>
  <c r="C43" i="1"/>
  <c r="AQ42" i="1"/>
  <c r="AQ43" i="1" s="1"/>
  <c r="AP42" i="1"/>
  <c r="E42" i="1" a="1"/>
  <c r="E42" i="1" s="1"/>
  <c r="C42" i="1"/>
  <c r="B41" i="1"/>
  <c r="B42" i="1" l="1"/>
  <c r="B43" i="1" s="1"/>
  <c r="AS43" i="1"/>
  <c r="AU43" i="1" s="1"/>
  <c r="AQ44" i="1"/>
  <c r="AQ45" i="1" s="1"/>
  <c r="AQ46" i="1" s="1"/>
  <c r="H44" i="1"/>
  <c r="D44" i="1"/>
  <c r="AS41" i="1"/>
  <c r="AT41" i="1"/>
  <c r="AS42" i="1"/>
  <c r="AT42" i="1"/>
  <c r="AU41" i="1" l="1"/>
  <c r="Q44" i="1"/>
  <c r="Q45" i="1" s="1"/>
  <c r="Q46" i="1" s="1"/>
  <c r="AP44" i="1"/>
  <c r="E44" i="1" a="1"/>
  <c r="E44" i="1" s="1"/>
  <c r="C44" i="1"/>
  <c r="B44" i="1" s="1"/>
  <c r="AU42" i="1"/>
  <c r="D45" i="1" l="1"/>
  <c r="AS44" i="1"/>
  <c r="AT44" i="1"/>
  <c r="H45" i="1" l="1"/>
  <c r="J45" i="1"/>
  <c r="E45" i="1" a="1"/>
  <c r="E45" i="1" s="1"/>
  <c r="AP45" i="1"/>
  <c r="C45" i="1"/>
  <c r="B45" i="1" s="1"/>
  <c r="AU44" i="1"/>
  <c r="D46" i="1" l="1"/>
  <c r="H46" i="1"/>
  <c r="AT45" i="1"/>
  <c r="AS45" i="1"/>
  <c r="H47" i="1" l="1"/>
  <c r="T46" i="1"/>
  <c r="T47" i="1" s="1"/>
  <c r="T48" i="1" s="1"/>
  <c r="T49" i="1" s="1"/>
  <c r="T50" i="1" s="1"/>
  <c r="AP46" i="1"/>
  <c r="E46" i="1" a="1"/>
  <c r="E46" i="1" s="1"/>
  <c r="C46" i="1"/>
  <c r="B46" i="1" s="1"/>
  <c r="AU45" i="1"/>
  <c r="D47" i="1" l="1"/>
  <c r="E47" i="1" s="1" a="1"/>
  <c r="E47" i="1" s="1"/>
  <c r="D48" i="1"/>
  <c r="AP48" i="1" s="1"/>
  <c r="AT46" i="1"/>
  <c r="AS46" i="1"/>
  <c r="AU46" i="1" l="1"/>
  <c r="C47" i="1"/>
  <c r="B47" i="1" s="1"/>
  <c r="AP47" i="1"/>
  <c r="AT47" i="1" s="1"/>
  <c r="AQ47" i="1"/>
  <c r="AQ48" i="1" s="1"/>
  <c r="C48" i="1"/>
  <c r="E48" i="1" a="1"/>
  <c r="E48" i="1" s="1"/>
  <c r="J48" i="1"/>
  <c r="J49" i="1" s="1"/>
  <c r="J50" i="1" s="1"/>
  <c r="H48" i="1"/>
  <c r="AS48" i="1"/>
  <c r="AT48" i="1"/>
  <c r="D49" i="1" l="1"/>
  <c r="H49" i="1" s="1"/>
  <c r="D50" i="1" s="1"/>
  <c r="AS47" i="1"/>
  <c r="AU47" i="1" s="1"/>
  <c r="B48" i="1"/>
  <c r="AU48" i="1"/>
  <c r="AP49" i="1" l="1"/>
  <c r="AT49" i="1" s="1"/>
  <c r="C49" i="1"/>
  <c r="B49" i="1" s="1"/>
  <c r="E49" i="1" a="1"/>
  <c r="E49" i="1" s="1"/>
  <c r="AQ49" i="1"/>
  <c r="AQ50" i="1"/>
  <c r="C50" i="1"/>
  <c r="AP50" i="1"/>
  <c r="AT50" i="1" s="1"/>
  <c r="E50" i="1" a="1"/>
  <c r="E50" i="1" s="1"/>
  <c r="H50" i="1"/>
  <c r="AS49" i="1" l="1"/>
  <c r="H51" i="1"/>
  <c r="D51" i="1"/>
  <c r="AQ51" i="1" s="1"/>
  <c r="B50" i="1"/>
  <c r="AS50" i="1"/>
  <c r="AU50" i="1" s="1"/>
  <c r="AU49" i="1"/>
  <c r="J51" i="1" l="1"/>
  <c r="AP51" i="1"/>
  <c r="AT51" i="1" s="1"/>
  <c r="E51" i="1" a="1"/>
  <c r="E51" i="1" s="1"/>
  <c r="T52" i="1"/>
  <c r="C51" i="1"/>
  <c r="B51" i="1" s="1"/>
  <c r="AS51" i="1" l="1"/>
  <c r="AU51" i="1" s="1"/>
  <c r="D52" i="1"/>
  <c r="J52" i="1"/>
  <c r="C52" i="1" l="1"/>
  <c r="B52" i="1" s="1"/>
  <c r="B53" i="1" s="1"/>
  <c r="H52" i="1"/>
  <c r="E52" i="1" a="1"/>
  <c r="E5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<sst xmlns="http://schemas.openxmlformats.org/spreadsheetml/2006/main" count="925" uniqueCount="174">
  <si>
    <t>RND</t>
  </si>
  <si>
    <t>Tiempo entre llegadas</t>
  </si>
  <si>
    <t>Día</t>
  </si>
  <si>
    <t>Estado</t>
  </si>
  <si>
    <t>Próxima Llegada</t>
  </si>
  <si>
    <t>Libre (L)</t>
  </si>
  <si>
    <t>EVENTOS</t>
  </si>
  <si>
    <t>CONTADORES</t>
  </si>
  <si>
    <t>OBJETOS PERMANENTES</t>
  </si>
  <si>
    <t>OBJETOS TEMPORALES</t>
  </si>
  <si>
    <t>- X tiempo</t>
  </si>
  <si>
    <t>- PERMANENTES:</t>
  </si>
  <si>
    <t>- TEMPORALES:</t>
  </si>
  <si>
    <t>L</t>
  </si>
  <si>
    <t>-</t>
  </si>
  <si>
    <t>P()</t>
  </si>
  <si>
    <t>P() Ac</t>
  </si>
  <si>
    <t>Desde</t>
  </si>
  <si>
    <t>Hasta</t>
  </si>
  <si>
    <t>O</t>
  </si>
  <si>
    <t>1</t>
  </si>
  <si>
    <t>2</t>
  </si>
  <si>
    <t>3</t>
  </si>
  <si>
    <t>4</t>
  </si>
  <si>
    <t>5</t>
  </si>
  <si>
    <t>6</t>
  </si>
  <si>
    <t>Est</t>
  </si>
  <si>
    <t>7</t>
  </si>
  <si>
    <t>▼</t>
  </si>
  <si>
    <t>CONSIGNA (a)</t>
  </si>
  <si>
    <t>CONSIGNA (b)</t>
  </si>
  <si>
    <t>8</t>
  </si>
  <si>
    <t>9</t>
  </si>
  <si>
    <t>A</t>
  </si>
  <si>
    <t>i</t>
  </si>
  <si>
    <t>ITERACIÓN</t>
  </si>
  <si>
    <t>(hora)           j</t>
  </si>
  <si>
    <t>Clock    (min)</t>
  </si>
  <si>
    <t>parámetro</t>
  </si>
  <si>
    <t>10</t>
  </si>
  <si>
    <t>11</t>
  </si>
  <si>
    <t>12</t>
  </si>
  <si>
    <t>evento</t>
  </si>
  <si>
    <t>TIEMPO</t>
  </si>
  <si>
    <t>13</t>
  </si>
  <si>
    <t>14</t>
  </si>
  <si>
    <t>15</t>
  </si>
  <si>
    <t>Atención de urgencias odontológicas durante las 24 horas.</t>
  </si>
  <si>
    <t>Llegada pacientes</t>
  </si>
  <si>
    <t>EXP NEG (30')</t>
  </si>
  <si>
    <t>demora 5'</t>
  </si>
  <si>
    <t>- i iteraciones</t>
  </si>
  <si>
    <t>1 empleado</t>
  </si>
  <si>
    <t>Atención Odontólogo</t>
  </si>
  <si>
    <t>Atención Cirujano</t>
  </si>
  <si>
    <t>U (40', 60')</t>
  </si>
  <si>
    <t>- COLA de ODONTÓLOGO GENERAL: Probabilidad del 40% que el PACIENTE se retire de la clínica a los 30' exactamente.</t>
  </si>
  <si>
    <t>- COLA de CIRUJANO: Probabilidad del 40% que el PACIENTE se retire de la clínica a los 30' exactamente.</t>
  </si>
  <si>
    <t>- Porcentaje de pacientes que abandonaron la clínica por impaciencia respecto al total de llegadas.</t>
  </si>
  <si>
    <t>- Tiempo promedio de espera en cola para los pacientes que sí aceptaron atenderse con el Odontólogo General.</t>
  </si>
  <si>
    <t>- Porcentaje de ocupación del Cirujano (distinguiendo tiempo de atención y tiempo de esterilización).</t>
  </si>
  <si>
    <t>- llegada_paciente</t>
  </si>
  <si>
    <t>- fin_triage</t>
  </si>
  <si>
    <t>5'</t>
  </si>
  <si>
    <t>CIRUJANO</t>
  </si>
  <si>
    <t>ODONTÓLOGO GRAL.:</t>
  </si>
  <si>
    <t>CIRUJANO:</t>
  </si>
  <si>
    <t>- fin_odontologo</t>
  </si>
  <si>
    <t>- fin_cirujano</t>
  </si>
  <si>
    <t>U (40',60')</t>
  </si>
  <si>
    <t>TRIAGE</t>
  </si>
  <si>
    <t>TRIAGE:</t>
  </si>
  <si>
    <t>En estirilización (E)</t>
  </si>
  <si>
    <t>PACIENTE:</t>
  </si>
  <si>
    <t>En Cola TRIAGE (CT)</t>
  </si>
  <si>
    <t>En Cola CIRUJANO (CC)</t>
  </si>
  <si>
    <t>En Cola ODONTÓLOGO (CO)</t>
  </si>
  <si>
    <t>Siendo Atendido en ODONTÓLOGO (O)</t>
  </si>
  <si>
    <t>Siendo Atendido en CIRUJANO (C)</t>
  </si>
  <si>
    <t>Siendo Atendido en TRIAGE (T)</t>
  </si>
  <si>
    <t>fin_cirujano</t>
  </si>
  <si>
    <t>Distribución uniforme</t>
  </si>
  <si>
    <t>Distribución exponencial negativa</t>
  </si>
  <si>
    <t>llegada_paciente</t>
  </si>
  <si>
    <t>fin_odontologo</t>
  </si>
  <si>
    <t>- fin_estirilización</t>
  </si>
  <si>
    <t xml:space="preserve">15' </t>
  </si>
  <si>
    <t>Derivado a…</t>
  </si>
  <si>
    <t>Odontólogo</t>
  </si>
  <si>
    <t>Cirujano</t>
  </si>
  <si>
    <t>Se retira…</t>
  </si>
  <si>
    <t>SI</t>
  </si>
  <si>
    <t>NO</t>
  </si>
  <si>
    <t>fin_triage</t>
  </si>
  <si>
    <t>(5')</t>
  </si>
  <si>
    <t>exp neg (30')</t>
  </si>
  <si>
    <t>Tiempo en Triage</t>
  </si>
  <si>
    <t>Tiempo de Atención</t>
  </si>
  <si>
    <t>u (40',60')</t>
  </si>
  <si>
    <t>fin_estirilización</t>
  </si>
  <si>
    <t>Tiempo de Estirilización</t>
  </si>
  <si>
    <t>(15')</t>
  </si>
  <si>
    <t>(30')</t>
  </si>
  <si>
    <t>fin_espera_en_cola_odontologo</t>
  </si>
  <si>
    <t>Tiempo de Espera</t>
  </si>
  <si>
    <t>fin_espera</t>
  </si>
  <si>
    <t>fin_espera_en_cola_cirujano</t>
  </si>
  <si>
    <t>Especialidad</t>
  </si>
  <si>
    <t>se retira</t>
  </si>
  <si>
    <t>Cola</t>
  </si>
  <si>
    <t>ODONTÓLOGO</t>
  </si>
  <si>
    <t>Atendiendo (A)</t>
  </si>
  <si>
    <t>En Estirilización (E)</t>
  </si>
  <si>
    <t>Contador de Pacientes que llegaron</t>
  </si>
  <si>
    <t>Contador de Pacientes que se retiraron por impaciencia</t>
  </si>
  <si>
    <t>% de pacientes que abandonaron la clínica por impaciencia respecto al total de llegadas.</t>
  </si>
  <si>
    <t>Tiempo promedio de espera en cola para los pacientes que sí aceptaron atenderse con el Odontólogo General (en minutos)</t>
  </si>
  <si>
    <t>VARIABLES ALEATORIAS</t>
  </si>
  <si>
    <t>Acumulador de tiempo trabajando del Cirujano</t>
  </si>
  <si>
    <t>Acumulador de tiempo atendiendo del Cirujano</t>
  </si>
  <si>
    <t>Acumulador de tiempo estirilizando del Cirujano</t>
  </si>
  <si>
    <t>% de Tiempo de Atención del Cirujano</t>
  </si>
  <si>
    <t>% de Ocupación del Cirujano</t>
  </si>
  <si>
    <t>% de Tiempo de Estirilización del Cirujano</t>
  </si>
  <si>
    <t>PACIENTE</t>
  </si>
  <si>
    <t>T</t>
  </si>
  <si>
    <t>μ =</t>
  </si>
  <si>
    <t>t° paciencia =</t>
  </si>
  <si>
    <t>t° registro y evaluación =</t>
  </si>
  <si>
    <t>A =</t>
  </si>
  <si>
    <t>B =</t>
  </si>
  <si>
    <t>C</t>
  </si>
  <si>
    <t>Contador Pacientes que aceptan atenderse</t>
  </si>
  <si>
    <t>Contador de Pacientes que aceptaron atenderse con el Odontólogo General</t>
  </si>
  <si>
    <t>Acumulador de tiempo en cola de Pacientes que sí aceptaron atenderse con el Odontólogo General (en minutos)</t>
  </si>
  <si>
    <t>CONSIGNA (c)</t>
  </si>
  <si>
    <t>Contador pacientes atendidos</t>
  </si>
  <si>
    <t>- fin_de espera_en_cola_odontologo</t>
  </si>
  <si>
    <t>30'</t>
  </si>
  <si>
    <t>- fin_de espera_en_cola_cirujano</t>
  </si>
  <si>
    <t>en múltiplo de 3 ESTIRILIZAR !!!</t>
  </si>
  <si>
    <t>Lopez</t>
  </si>
  <si>
    <t>Dario Gustavo</t>
  </si>
  <si>
    <t>dario477@gmail.com</t>
  </si>
  <si>
    <t>Primo</t>
  </si>
  <si>
    <t>Gabriela A</t>
  </si>
  <si>
    <t>gabriela17primo@gmail.com</t>
  </si>
  <si>
    <t>Quiñones</t>
  </si>
  <si>
    <t>Lautaro Ezequiel</t>
  </si>
  <si>
    <t>ezequiel.lauti02@gmail.com</t>
  </si>
  <si>
    <t>Riera</t>
  </si>
  <si>
    <t>Lucas Santiago</t>
  </si>
  <si>
    <t>santilrier@gmail.com</t>
  </si>
  <si>
    <t>Paglino</t>
  </si>
  <si>
    <t>Luciano Ivo</t>
  </si>
  <si>
    <t>lupaglino@gmail.com</t>
  </si>
  <si>
    <t>Soto Garay</t>
  </si>
  <si>
    <t>Franco Nicolás</t>
  </si>
  <si>
    <t>nicolassotogaray@gmail.com</t>
  </si>
  <si>
    <t>Moro</t>
  </si>
  <si>
    <t>Emiliano</t>
  </si>
  <si>
    <t>emimoro2003@gmail.com</t>
  </si>
  <si>
    <t>Tacca</t>
  </si>
  <si>
    <t>Franco</t>
  </si>
  <si>
    <t>fr.tacca@gmail.com</t>
  </si>
  <si>
    <t>INTEGRANTES</t>
  </si>
  <si>
    <t>- COLA TRIAGE</t>
  </si>
  <si>
    <t>Estiriliza (SI/NO)</t>
  </si>
  <si>
    <t>SI / NO</t>
  </si>
  <si>
    <t>CT</t>
  </si>
  <si>
    <t>Inicio  Espera en cola</t>
  </si>
  <si>
    <t>IEC</t>
  </si>
  <si>
    <t>CC</t>
  </si>
  <si>
    <t>derivado a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</si>
</sst>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5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0"/>
      <name val="Aptos Narrow"/>
      <scheme val="minor"/>
    </font>
    <font>
      <i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8"/>
      <color theme="0"/>
      <name val="Aptos Narrow"/>
      <scheme val="minor"/>
    </font>
    <font>
      <vertAlign val="superscript"/>
      <sz val="11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scheme val="minor"/>
    </font>
    <font>
      <b/>
      <sz val="14"/>
      <color rgb="FFFF0000"/>
      <name val="Aptos Narrow"/>
      <scheme val="minor"/>
    </font>
    <font>
      <b/>
      <sz val="11"/>
      <color theme="9" tint="0.59999389629810485"/>
      <name val="Aptos Narrow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scheme val="minor"/>
    </font>
    <font>
      <vertAlign val="superscript"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0"/>
      <name val="Aptos Narrow"/>
      <scheme val="minor"/>
    </font>
    <font>
      <b/>
      <sz val="12"/>
      <color theme="0"/>
      <name val="Aptos Narrow"/>
      <scheme val="minor"/>
    </font>
    <font>
      <b/>
      <sz val="11"/>
      <color theme="8" tint="0.59999389629810485"/>
      <name val="Aptos Narrow"/>
      <scheme val="minor"/>
    </font>
    <font>
      <b/>
      <sz val="11"/>
      <color theme="3" tint="0.749992370372631"/>
      <name val="Aptos Narrow"/>
      <scheme val="minor"/>
    </font>
    <font>
      <b/>
      <sz val="11"/>
      <color theme="5" tint="0.59999389629810485"/>
      <name val="Aptos Narrow"/>
      <scheme val="minor"/>
    </font>
    <font>
      <b/>
      <sz val="11"/>
      <color theme="9" tint="0.39997558519241921"/>
      <name val="Aptos Narrow"/>
      <scheme val="minor"/>
    </font>
    <font>
      <b/>
      <sz val="11"/>
      <color theme="3" tint="0.499984740745262"/>
      <name val="Aptos Narrow"/>
      <scheme val="minor"/>
    </font>
    <font>
      <b/>
      <sz val="14"/>
      <color theme="0"/>
      <name val="Arial"/>
      <family val="2"/>
    </font>
    <font>
      <b/>
      <sz val="11"/>
      <name val="Aptos Narrow"/>
      <scheme val="minor"/>
    </font>
    <font>
      <sz val="11"/>
      <name val="Aptos Narrow"/>
      <scheme val="minor"/>
    </font>
    <font>
      <b/>
      <sz val="14"/>
      <name val="Aptos Narrow"/>
      <scheme val="minor"/>
    </font>
    <font>
      <sz val="14"/>
      <name val="Aptos Narrow"/>
      <scheme val="minor"/>
    </font>
    <font>
      <sz val="12"/>
      <color theme="0"/>
      <name val="Aptos Narrow"/>
      <scheme val="minor"/>
    </font>
    <font>
      <b/>
      <u/>
      <sz val="11"/>
      <color theme="1"/>
      <name val="Aptos Narrow"/>
      <scheme val="minor"/>
    </font>
    <font>
      <sz val="12"/>
      <color theme="1"/>
      <name val="Arial"/>
      <family val="2"/>
    </font>
    <font>
      <b/>
      <sz val="11"/>
      <color rgb="FF8FFFDA"/>
      <name val="Aptos Narrow"/>
      <scheme val="minor"/>
    </font>
    <font>
      <i/>
      <sz val="11"/>
      <color rgb="FFFF0000"/>
      <name val="Aptos Narrow"/>
      <scheme val="minor"/>
    </font>
    <font>
      <b/>
      <sz val="11"/>
      <color rgb="FFFFCCFF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8FFFDA"/>
        <bgColor indexed="64"/>
      </patternFill>
    </fill>
    <fill>
      <patternFill patternType="solid">
        <fgColor rgb="FFC00000"/>
        <bgColor indexed="64"/>
      </patternFill>
    </fill>
  </fills>
  <borders count="2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9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49" fontId="0" fillId="0" borderId="0" xfId="0" applyNumberFormat="1"/>
    <xf numFmtId="49" fontId="7" fillId="0" borderId="0" xfId="0" applyNumberFormat="1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2" fontId="0" fillId="3" borderId="0" xfId="0" applyNumberFormat="1" applyFill="1" applyAlignment="1">
      <alignment horizontal="center" vertical="center"/>
    </xf>
    <xf numFmtId="0" fontId="0" fillId="3" borderId="0" xfId="0" applyFill="1"/>
    <xf numFmtId="2" fontId="0" fillId="5" borderId="0" xfId="0" applyNumberFormat="1" applyFill="1" applyAlignment="1">
      <alignment horizontal="center" vertical="center"/>
    </xf>
    <xf numFmtId="2" fontId="0" fillId="5" borderId="0" xfId="0" applyNumberFormat="1" applyFill="1"/>
    <xf numFmtId="49" fontId="2" fillId="2" borderId="1" xfId="0" applyNumberFormat="1" applyFont="1" applyFill="1" applyBorder="1" applyAlignment="1">
      <alignment horizontal="center" vertical="center" wrapText="1"/>
    </xf>
    <xf numFmtId="9" fontId="11" fillId="0" borderId="0" xfId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2" borderId="9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6" borderId="0" xfId="0" applyNumberFormat="1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4" fillId="0" borderId="0" xfId="0" applyNumberFormat="1" applyFont="1"/>
    <xf numFmtId="0" fontId="1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4" fillId="0" borderId="0" xfId="0" quotePrefix="1" applyFont="1"/>
    <xf numFmtId="49" fontId="16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0" fillId="2" borderId="0" xfId="0" applyFill="1"/>
    <xf numFmtId="0" fontId="17" fillId="2" borderId="0" xfId="0" applyFont="1" applyFill="1"/>
    <xf numFmtId="49" fontId="17" fillId="2" borderId="0" xfId="0" applyNumberFormat="1" applyFont="1" applyFill="1"/>
    <xf numFmtId="49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2" fontId="0" fillId="3" borderId="0" xfId="0" applyNumberFormat="1" applyFill="1"/>
    <xf numFmtId="0" fontId="1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0" fillId="7" borderId="0" xfId="0" applyFill="1"/>
    <xf numFmtId="0" fontId="3" fillId="8" borderId="0" xfId="0" applyFont="1" applyFill="1" applyAlignment="1">
      <alignment vertical="center"/>
    </xf>
    <xf numFmtId="0" fontId="0" fillId="8" borderId="0" xfId="0" applyFill="1"/>
    <xf numFmtId="0" fontId="3" fillId="6" borderId="0" xfId="0" applyFont="1" applyFill="1" applyAlignment="1">
      <alignment vertical="center"/>
    </xf>
    <xf numFmtId="0" fontId="0" fillId="6" borderId="0" xfId="0" applyFill="1"/>
    <xf numFmtId="0" fontId="0" fillId="0" borderId="15" xfId="0" applyBorder="1"/>
    <xf numFmtId="0" fontId="0" fillId="0" borderId="16" xfId="0" applyBorder="1"/>
    <xf numFmtId="0" fontId="0" fillId="0" borderId="17" xfId="0" applyBorder="1"/>
    <xf numFmtId="49" fontId="2" fillId="2" borderId="18" xfId="0" applyNumberFormat="1" applyFont="1" applyFill="1" applyBorder="1"/>
    <xf numFmtId="49" fontId="0" fillId="0" borderId="19" xfId="0" applyNumberFormat="1" applyBorder="1"/>
    <xf numFmtId="49" fontId="0" fillId="0" borderId="18" xfId="0" applyNumberFormat="1" applyBorder="1"/>
    <xf numFmtId="0" fontId="0" fillId="0" borderId="18" xfId="0" applyBorder="1"/>
    <xf numFmtId="49" fontId="18" fillId="2" borderId="18" xfId="0" applyNumberFormat="1" applyFont="1" applyFill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49" fontId="14" fillId="0" borderId="18" xfId="0" applyNumberFormat="1" applyFont="1" applyBorder="1" applyAlignment="1">
      <alignment horizontal="left" vertical="center"/>
    </xf>
    <xf numFmtId="49" fontId="18" fillId="2" borderId="20" xfId="0" applyNumberFormat="1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9" xfId="0" applyBorder="1"/>
    <xf numFmtId="49" fontId="0" fillId="0" borderId="18" xfId="0" applyNumberFormat="1" applyBorder="1" applyAlignment="1">
      <alignment horizontal="left" vertical="center"/>
    </xf>
    <xf numFmtId="49" fontId="0" fillId="2" borderId="0" xfId="0" applyNumberFormat="1" applyFill="1"/>
    <xf numFmtId="49" fontId="0" fillId="0" borderId="20" xfId="0" applyNumberFormat="1" applyBorder="1"/>
    <xf numFmtId="49" fontId="0" fillId="0" borderId="21" xfId="0" applyNumberFormat="1" applyBorder="1"/>
    <xf numFmtId="49" fontId="0" fillId="0" borderId="22" xfId="0" applyNumberFormat="1" applyBorder="1"/>
    <xf numFmtId="0" fontId="24" fillId="2" borderId="23" xfId="0" applyFont="1" applyFill="1" applyBorder="1" applyAlignment="1">
      <alignment horizontal="left" vertical="center"/>
    </xf>
    <xf numFmtId="0" fontId="13" fillId="2" borderId="24" xfId="0" applyFont="1" applyFill="1" applyBorder="1"/>
    <xf numFmtId="0" fontId="13" fillId="2" borderId="25" xfId="0" applyFont="1" applyFill="1" applyBorder="1"/>
    <xf numFmtId="0" fontId="0" fillId="0" borderId="19" xfId="0" applyBorder="1" applyAlignment="1">
      <alignment horizontal="left" vertical="center"/>
    </xf>
    <xf numFmtId="49" fontId="27" fillId="0" borderId="18" xfId="0" applyNumberFormat="1" applyFont="1" applyBorder="1"/>
    <xf numFmtId="49" fontId="28" fillId="0" borderId="0" xfId="0" applyNumberFormat="1" applyFont="1"/>
    <xf numFmtId="49" fontId="27" fillId="0" borderId="18" xfId="0" applyNumberFormat="1" applyFont="1" applyBorder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49" fontId="3" fillId="14" borderId="0" xfId="0" applyNumberFormat="1" applyFont="1" applyFill="1" applyAlignment="1">
      <alignment vertical="center"/>
    </xf>
    <xf numFmtId="0" fontId="0" fillId="14" borderId="0" xfId="0" applyFill="1" applyAlignment="1">
      <alignment vertical="center"/>
    </xf>
    <xf numFmtId="0" fontId="0" fillId="14" borderId="0" xfId="0" applyFill="1"/>
    <xf numFmtId="0" fontId="3" fillId="14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1" fillId="8" borderId="4" xfId="0" applyFont="1" applyFill="1" applyBorder="1" applyAlignment="1">
      <alignment vertical="center" wrapText="1"/>
    </xf>
    <xf numFmtId="0" fontId="1" fillId="8" borderId="0" xfId="0" applyFont="1" applyFill="1" applyAlignment="1">
      <alignment horizontal="right" vertical="center" wrapText="1"/>
    </xf>
    <xf numFmtId="0" fontId="1" fillId="8" borderId="4" xfId="0" applyFont="1" applyFill="1" applyBorder="1" applyAlignment="1">
      <alignment horizontal="right" vertical="center" wrapText="1"/>
    </xf>
    <xf numFmtId="0" fontId="1" fillId="8" borderId="0" xfId="0" applyFont="1" applyFill="1" applyAlignment="1">
      <alignment horizontal="left" vertical="center" wrapText="1"/>
    </xf>
    <xf numFmtId="0" fontId="1" fillId="8" borderId="4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9" fontId="11" fillId="0" borderId="0" xfId="1" applyFont="1" applyAlignment="1">
      <alignment horizontal="center" vertical="center"/>
    </xf>
    <xf numFmtId="2" fontId="1" fillId="8" borderId="0" xfId="0" applyNumberFormat="1" applyFont="1" applyFill="1" applyAlignment="1">
      <alignment horizontal="center" vertical="center" wrapText="1"/>
    </xf>
    <xf numFmtId="49" fontId="0" fillId="15" borderId="0" xfId="0" applyNumberFormat="1" applyFill="1" applyAlignment="1">
      <alignment horizontal="center" vertical="center"/>
    </xf>
    <xf numFmtId="2" fontId="25" fillId="0" borderId="0" xfId="0" applyNumberFormat="1" applyFont="1" applyAlignment="1">
      <alignment horizontal="center" vertical="center" wrapText="1"/>
    </xf>
    <xf numFmtId="49" fontId="18" fillId="2" borderId="0" xfId="0" applyNumberFormat="1" applyFont="1" applyFill="1"/>
    <xf numFmtId="49" fontId="29" fillId="2" borderId="0" xfId="0" applyNumberFormat="1" applyFont="1" applyFill="1"/>
    <xf numFmtId="49" fontId="14" fillId="0" borderId="0" xfId="0" applyNumberFormat="1" applyFont="1"/>
    <xf numFmtId="49" fontId="29" fillId="2" borderId="0" xfId="0" applyNumberFormat="1" applyFont="1" applyFill="1" applyAlignment="1">
      <alignment horizontal="left" vertical="center"/>
    </xf>
    <xf numFmtId="49" fontId="14" fillId="2" borderId="0" xfId="0" applyNumberFormat="1" applyFont="1" applyFill="1"/>
    <xf numFmtId="2" fontId="26" fillId="0" borderId="0" xfId="0" applyNumberFormat="1" applyFont="1" applyAlignment="1">
      <alignment horizontal="center" vertical="center" wrapText="1"/>
    </xf>
    <xf numFmtId="0" fontId="29" fillId="2" borderId="0" xfId="0" applyFont="1" applyFill="1"/>
    <xf numFmtId="0" fontId="31" fillId="0" borderId="26" xfId="0" applyFont="1" applyBorder="1" applyAlignment="1">
      <alignment vertical="center"/>
    </xf>
    <xf numFmtId="0" fontId="31" fillId="0" borderId="26" xfId="0" applyFont="1" applyBorder="1" applyAlignment="1">
      <alignment horizontal="center" vertical="center"/>
    </xf>
    <xf numFmtId="164" fontId="0" fillId="2" borderId="17" xfId="0" applyNumberFormat="1" applyFill="1" applyBorder="1"/>
    <xf numFmtId="164" fontId="0" fillId="0" borderId="19" xfId="0" applyNumberFormat="1" applyBorder="1"/>
    <xf numFmtId="0" fontId="0" fillId="2" borderId="21" xfId="0" applyFill="1" applyBorder="1"/>
    <xf numFmtId="2" fontId="1" fillId="7" borderId="0" xfId="0" applyNumberFormat="1" applyFont="1" applyFill="1" applyAlignment="1">
      <alignment horizontal="center" vertical="center" wrapText="1"/>
    </xf>
    <xf numFmtId="49" fontId="0" fillId="7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2" fontId="0" fillId="8" borderId="0" xfId="0" applyNumberForma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49" fontId="0" fillId="8" borderId="0" xfId="0" applyNumberFormat="1" applyFill="1" applyAlignment="1">
      <alignment horizontal="center" vertical="center"/>
    </xf>
    <xf numFmtId="0" fontId="1" fillId="14" borderId="0" xfId="0" applyFont="1" applyFill="1" applyAlignment="1">
      <alignment vertical="center" wrapText="1"/>
    </xf>
    <xf numFmtId="2" fontId="1" fillId="14" borderId="0" xfId="0" applyNumberFormat="1" applyFont="1" applyFill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0" fillId="8" borderId="0" xfId="0" applyFont="1" applyFill="1" applyAlignment="1">
      <alignment horizontal="center" vertical="center" wrapText="1"/>
    </xf>
    <xf numFmtId="0" fontId="30" fillId="4" borderId="0" xfId="0" applyFont="1" applyFill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0" fontId="30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right" vertical="center" wrapText="1"/>
    </xf>
    <xf numFmtId="0" fontId="1" fillId="7" borderId="4" xfId="0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0" fillId="14" borderId="0" xfId="0" applyFont="1" applyFill="1" applyAlignment="1">
      <alignment horizontal="center" vertical="center" wrapText="1"/>
    </xf>
    <xf numFmtId="0" fontId="30" fillId="6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right" vertical="center" wrapText="1"/>
    </xf>
    <xf numFmtId="0" fontId="1" fillId="14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 wrapText="1"/>
    </xf>
    <xf numFmtId="0" fontId="30" fillId="9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horizontal="center" vertical="center" wrapText="1"/>
    </xf>
    <xf numFmtId="0" fontId="30" fillId="10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CCFF"/>
      <color rgb="FF8FFFDA"/>
      <color rgb="FF66FFCC"/>
      <color rgb="FF6600FF"/>
      <color rgb="FF99FF33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2066925</xdr:colOff>
      <xdr:row>28</xdr:row>
      <xdr:rowOff>313853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8C3CBB-E9E0-BBFF-53FC-B064E4B27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38850" cy="53811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555330</xdr:colOff>
      <xdr:row>10</xdr:row>
      <xdr:rowOff>20728</xdr:rowOff>
    </xdr:from>
    <xdr:to>
      <xdr:col>13</xdr:col>
      <xdr:colOff>263256</xdr:colOff>
      <xdr:row>14</xdr:row>
      <xdr:rowOff>4081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1AC4985D-2353-4365-B090-EFF4E17C6E82}"/>
            </a:ext>
          </a:extLst>
        </xdr:cNvPr>
        <xdr:cNvSpPr/>
      </xdr:nvSpPr>
      <xdr:spPr>
        <a:xfrm>
          <a:off x="10393294" y="2401978"/>
          <a:ext cx="1395212" cy="718139"/>
        </a:xfrm>
        <a:prstGeom prst="roundRect">
          <a:avLst/>
        </a:prstGeom>
        <a:solidFill>
          <a:schemeClr val="dk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400" b="1">
              <a:latin typeface="Arial" panose="020B0604020202020204" pitchFamily="34" charset="0"/>
              <a:cs typeface="Arial" panose="020B0604020202020204" pitchFamily="34" charset="0"/>
            </a:rPr>
            <a:t>Odontólogo</a:t>
          </a:r>
          <a:r>
            <a:rPr lang="es-AR" sz="1400" b="1" baseline="0">
              <a:latin typeface="Arial" panose="020B0604020202020204" pitchFamily="34" charset="0"/>
              <a:cs typeface="Arial" panose="020B0604020202020204" pitchFamily="34" charset="0"/>
            </a:rPr>
            <a:t> Gral.</a:t>
          </a:r>
          <a:endParaRPr lang="es-AR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579424</xdr:colOff>
      <xdr:row>29</xdr:row>
      <xdr:rowOff>54348</xdr:rowOff>
    </xdr:from>
    <xdr:to>
      <xdr:col>13</xdr:col>
      <xdr:colOff>290553</xdr:colOff>
      <xdr:row>32</xdr:row>
      <xdr:rowOff>56029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6B92AD85-F85B-4378-A03C-D7BB1E60C498}"/>
            </a:ext>
          </a:extLst>
        </xdr:cNvPr>
        <xdr:cNvSpPr/>
      </xdr:nvSpPr>
      <xdr:spPr>
        <a:xfrm>
          <a:off x="10417388" y="5919027"/>
          <a:ext cx="1398415" cy="532359"/>
        </a:xfrm>
        <a:prstGeom prst="roundRect">
          <a:avLst/>
        </a:prstGeom>
        <a:solidFill>
          <a:schemeClr val="dk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400" b="1">
              <a:latin typeface="Arial" panose="020B0604020202020204" pitchFamily="34" charset="0"/>
              <a:cs typeface="Arial" panose="020B0604020202020204" pitchFamily="34" charset="0"/>
            </a:rPr>
            <a:t>Cirujano</a:t>
          </a:r>
        </a:p>
      </xdr:txBody>
    </xdr:sp>
    <xdr:clientData/>
  </xdr:twoCellAnchor>
  <xdr:twoCellAnchor>
    <xdr:from>
      <xdr:col>4</xdr:col>
      <xdr:colOff>105103</xdr:colOff>
      <xdr:row>21</xdr:row>
      <xdr:rowOff>33896</xdr:rowOff>
    </xdr:from>
    <xdr:to>
      <xdr:col>6</xdr:col>
      <xdr:colOff>160243</xdr:colOff>
      <xdr:row>21</xdr:row>
      <xdr:rowOff>39414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EA3CC810-C8A6-6262-756D-FA246EA949FC}"/>
            </a:ext>
          </a:extLst>
        </xdr:cNvPr>
        <xdr:cNvCxnSpPr>
          <a:stCxn id="10" idx="1"/>
        </xdr:cNvCxnSpPr>
      </xdr:nvCxnSpPr>
      <xdr:spPr>
        <a:xfrm flipH="1">
          <a:off x="1785985" y="4527455"/>
          <a:ext cx="1736023" cy="551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551021</xdr:colOff>
      <xdr:row>20</xdr:row>
      <xdr:rowOff>19707</xdr:rowOff>
    </xdr:from>
    <xdr:to>
      <xdr:col>4</xdr:col>
      <xdr:colOff>695538</xdr:colOff>
      <xdr:row>20</xdr:row>
      <xdr:rowOff>164224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9D6FCD63-70B6-2584-F2B9-B6BE1FB901A1}"/>
            </a:ext>
          </a:extLst>
        </xdr:cNvPr>
        <xdr:cNvSpPr/>
      </xdr:nvSpPr>
      <xdr:spPr>
        <a:xfrm>
          <a:off x="2231903" y="4322766"/>
          <a:ext cx="144517" cy="14451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775679</xdr:colOff>
      <xdr:row>20</xdr:row>
      <xdr:rowOff>21021</xdr:rowOff>
    </xdr:from>
    <xdr:to>
      <xdr:col>5</xdr:col>
      <xdr:colOff>79754</xdr:colOff>
      <xdr:row>20</xdr:row>
      <xdr:rowOff>165538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1D59DB7D-C37A-478C-BCE9-E156B131B649}"/>
            </a:ext>
          </a:extLst>
        </xdr:cNvPr>
        <xdr:cNvSpPr/>
      </xdr:nvSpPr>
      <xdr:spPr>
        <a:xfrm>
          <a:off x="2456561" y="4324080"/>
          <a:ext cx="144517" cy="14451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159895</xdr:colOff>
      <xdr:row>20</xdr:row>
      <xdr:rowOff>22335</xdr:rowOff>
    </xdr:from>
    <xdr:to>
      <xdr:col>5</xdr:col>
      <xdr:colOff>304412</xdr:colOff>
      <xdr:row>20</xdr:row>
      <xdr:rowOff>166852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6B9500D8-5228-45FD-8E59-D8566CA4B251}"/>
            </a:ext>
          </a:extLst>
        </xdr:cNvPr>
        <xdr:cNvSpPr/>
      </xdr:nvSpPr>
      <xdr:spPr>
        <a:xfrm>
          <a:off x="2681219" y="4325394"/>
          <a:ext cx="144517" cy="14451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0</xdr:colOff>
      <xdr:row>17</xdr:row>
      <xdr:rowOff>145677</xdr:rowOff>
    </xdr:from>
    <xdr:to>
      <xdr:col>6</xdr:col>
      <xdr:colOff>0</xdr:colOff>
      <xdr:row>20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81257738-71C9-9124-5C67-A66DC4519B7C}"/>
            </a:ext>
          </a:extLst>
        </xdr:cNvPr>
        <xdr:cNvSpPr/>
      </xdr:nvSpPr>
      <xdr:spPr>
        <a:xfrm>
          <a:off x="3361765" y="3350559"/>
          <a:ext cx="1680882" cy="4146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COLA Triage</a:t>
          </a:r>
        </a:p>
      </xdr:txBody>
    </xdr:sp>
    <xdr:clientData/>
  </xdr:twoCellAnchor>
  <xdr:twoCellAnchor>
    <xdr:from>
      <xdr:col>0</xdr:col>
      <xdr:colOff>829235</xdr:colOff>
      <xdr:row>2</xdr:row>
      <xdr:rowOff>11206</xdr:rowOff>
    </xdr:from>
    <xdr:to>
      <xdr:col>16</xdr:col>
      <xdr:colOff>0</xdr:colOff>
      <xdr:row>4</xdr:row>
      <xdr:rowOff>0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B5A80E48-E22F-E403-BCD8-7CE91F299468}"/>
            </a:ext>
          </a:extLst>
        </xdr:cNvPr>
        <xdr:cNvSpPr/>
      </xdr:nvSpPr>
      <xdr:spPr>
        <a:xfrm>
          <a:off x="829235" y="364992"/>
          <a:ext cx="13172515" cy="342579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AR" sz="1800" b="1">
              <a:latin typeface="Arial" panose="020B0604020202020204" pitchFamily="34" charset="0"/>
              <a:cs typeface="Arial" panose="020B0604020202020204" pitchFamily="34" charset="0"/>
            </a:rPr>
            <a:t>ESQUEMA Guardia Odontológica "Sonrisas"</a:t>
          </a:r>
        </a:p>
      </xdr:txBody>
    </xdr:sp>
    <xdr:clientData/>
  </xdr:twoCellAnchor>
  <xdr:twoCellAnchor>
    <xdr:from>
      <xdr:col>17</xdr:col>
      <xdr:colOff>30535</xdr:colOff>
      <xdr:row>2</xdr:row>
      <xdr:rowOff>6724</xdr:rowOff>
    </xdr:from>
    <xdr:to>
      <xdr:col>28</xdr:col>
      <xdr:colOff>0</xdr:colOff>
      <xdr:row>3</xdr:row>
      <xdr:rowOff>174812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020A49B1-CEA5-40AC-A3C8-F796F8F723CF}"/>
            </a:ext>
          </a:extLst>
        </xdr:cNvPr>
        <xdr:cNvSpPr/>
      </xdr:nvSpPr>
      <xdr:spPr>
        <a:xfrm>
          <a:off x="15134464" y="360510"/>
          <a:ext cx="9807429" cy="344981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AR" sz="1800" b="1">
              <a:latin typeface="Arial" panose="020B0604020202020204" pitchFamily="34" charset="0"/>
              <a:cs typeface="Arial" panose="020B0604020202020204" pitchFamily="34" charset="0"/>
            </a:rPr>
            <a:t>REQUERIMIENTOS</a:t>
          </a:r>
        </a:p>
      </xdr:txBody>
    </xdr:sp>
    <xdr:clientData/>
  </xdr:twoCellAnchor>
  <xdr:twoCellAnchor>
    <xdr:from>
      <xdr:col>17</xdr:col>
      <xdr:colOff>13447</xdr:colOff>
      <xdr:row>12</xdr:row>
      <xdr:rowOff>35858</xdr:rowOff>
    </xdr:from>
    <xdr:to>
      <xdr:col>28</xdr:col>
      <xdr:colOff>0</xdr:colOff>
      <xdr:row>13</xdr:row>
      <xdr:rowOff>170328</xdr:rowOff>
    </xdr:to>
    <xdr:sp macro="" textlink="">
      <xdr:nvSpPr>
        <xdr:cNvPr id="33" name="Rectángulo: esquinas redondeadas 32">
          <a:extLst>
            <a:ext uri="{FF2B5EF4-FFF2-40B4-BE49-F238E27FC236}">
              <a16:creationId xmlns:a16="http://schemas.microsoft.com/office/drawing/2014/main" id="{BCF85B76-2353-43B1-A480-28E16249D5AA}"/>
            </a:ext>
          </a:extLst>
        </xdr:cNvPr>
        <xdr:cNvSpPr/>
      </xdr:nvSpPr>
      <xdr:spPr>
        <a:xfrm>
          <a:off x="15085359" y="2478740"/>
          <a:ext cx="9791700" cy="313764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AR" sz="1800" b="1">
              <a:latin typeface="Arial" panose="020B0604020202020204" pitchFamily="34" charset="0"/>
              <a:cs typeface="Arial" panose="020B0604020202020204" pitchFamily="34" charset="0"/>
            </a:rPr>
            <a:t>SIMULAR</a:t>
          </a:r>
        </a:p>
      </xdr:txBody>
    </xdr:sp>
    <xdr:clientData/>
  </xdr:twoCellAnchor>
  <xdr:twoCellAnchor>
    <xdr:from>
      <xdr:col>1</xdr:col>
      <xdr:colOff>20169</xdr:colOff>
      <xdr:row>50</xdr:row>
      <xdr:rowOff>8963</xdr:rowOff>
    </xdr:from>
    <xdr:to>
      <xdr:col>15</xdr:col>
      <xdr:colOff>-1</xdr:colOff>
      <xdr:row>52</xdr:row>
      <xdr:rowOff>158</xdr:rowOff>
    </xdr:to>
    <xdr:sp macro="" textlink="">
      <xdr:nvSpPr>
        <xdr:cNvPr id="34" name="Rectángulo: esquinas redondeadas 33">
          <a:extLst>
            <a:ext uri="{FF2B5EF4-FFF2-40B4-BE49-F238E27FC236}">
              <a16:creationId xmlns:a16="http://schemas.microsoft.com/office/drawing/2014/main" id="{B758043B-EB28-401D-9C85-21BC320A203C}"/>
            </a:ext>
          </a:extLst>
        </xdr:cNvPr>
        <xdr:cNvSpPr/>
      </xdr:nvSpPr>
      <xdr:spPr>
        <a:xfrm>
          <a:off x="863812" y="9901356"/>
          <a:ext cx="12158223" cy="344981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AR" sz="1800" b="1">
              <a:latin typeface="Arial" panose="020B0604020202020204" pitchFamily="34" charset="0"/>
              <a:cs typeface="Arial" panose="020B0604020202020204" pitchFamily="34" charset="0"/>
            </a:rPr>
            <a:t>OBJETOS</a:t>
          </a:r>
        </a:p>
      </xdr:txBody>
    </xdr:sp>
    <xdr:clientData/>
  </xdr:twoCellAnchor>
  <xdr:twoCellAnchor>
    <xdr:from>
      <xdr:col>17</xdr:col>
      <xdr:colOff>4481</xdr:colOff>
      <xdr:row>19</xdr:row>
      <xdr:rowOff>4480</xdr:rowOff>
    </xdr:from>
    <xdr:to>
      <xdr:col>27</xdr:col>
      <xdr:colOff>829234</xdr:colOff>
      <xdr:row>20</xdr:row>
      <xdr:rowOff>172568</xdr:rowOff>
    </xdr:to>
    <xdr:sp macro="" textlink="">
      <xdr:nvSpPr>
        <xdr:cNvPr id="37" name="Rectángulo: esquinas redondeadas 36">
          <a:extLst>
            <a:ext uri="{FF2B5EF4-FFF2-40B4-BE49-F238E27FC236}">
              <a16:creationId xmlns:a16="http://schemas.microsoft.com/office/drawing/2014/main" id="{9191D583-6AA9-45C9-8C38-CAEFEDB60CC5}"/>
            </a:ext>
          </a:extLst>
        </xdr:cNvPr>
        <xdr:cNvSpPr/>
      </xdr:nvSpPr>
      <xdr:spPr>
        <a:xfrm>
          <a:off x="15076393" y="3937745"/>
          <a:ext cx="9789459" cy="380999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AR" sz="1800" b="1">
              <a:latin typeface="Arial" panose="020B0604020202020204" pitchFamily="34" charset="0"/>
              <a:cs typeface="Arial" panose="020B0604020202020204" pitchFamily="34" charset="0"/>
            </a:rPr>
            <a:t>EVENTOS</a:t>
          </a:r>
        </a:p>
      </xdr:txBody>
    </xdr:sp>
    <xdr:clientData/>
  </xdr:twoCellAnchor>
  <xdr:twoCellAnchor>
    <xdr:from>
      <xdr:col>14</xdr:col>
      <xdr:colOff>14409</xdr:colOff>
      <xdr:row>8</xdr:row>
      <xdr:rowOff>89643</xdr:rowOff>
    </xdr:from>
    <xdr:to>
      <xdr:col>14</xdr:col>
      <xdr:colOff>639537</xdr:colOff>
      <xdr:row>35</xdr:row>
      <xdr:rowOff>168086</xdr:rowOff>
    </xdr:to>
    <xdr:sp macro="" textlink="">
      <xdr:nvSpPr>
        <xdr:cNvPr id="38" name="Rectángulo: esquinas redondeadas 37">
          <a:extLst>
            <a:ext uri="{FF2B5EF4-FFF2-40B4-BE49-F238E27FC236}">
              <a16:creationId xmlns:a16="http://schemas.microsoft.com/office/drawing/2014/main" id="{B38D3A10-FFF4-1AB1-D1BC-35499803995C}"/>
            </a:ext>
          </a:extLst>
        </xdr:cNvPr>
        <xdr:cNvSpPr/>
      </xdr:nvSpPr>
      <xdr:spPr>
        <a:xfrm rot="16200000">
          <a:off x="10193751" y="4279444"/>
          <a:ext cx="5004229" cy="625128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800" b="1">
              <a:latin typeface="Arial" panose="020B0604020202020204" pitchFamily="34" charset="0"/>
              <a:cs typeface="Arial" panose="020B0604020202020204" pitchFamily="34" charset="0"/>
            </a:rPr>
            <a:t>SE RETIRAN DE</a:t>
          </a:r>
          <a:r>
            <a:rPr lang="es-AR" sz="1800" b="1" baseline="0">
              <a:latin typeface="Arial" panose="020B0604020202020204" pitchFamily="34" charset="0"/>
              <a:cs typeface="Arial" panose="020B0604020202020204" pitchFamily="34" charset="0"/>
            </a:rPr>
            <a:t> LA CLÍNICA</a:t>
          </a:r>
          <a:endParaRPr lang="es-AR" sz="1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263256</xdr:colOff>
      <xdr:row>11</xdr:row>
      <xdr:rowOff>186016</xdr:rowOff>
    </xdr:from>
    <xdr:to>
      <xdr:col>14</xdr:col>
      <xdr:colOff>5922</xdr:colOff>
      <xdr:row>12</xdr:row>
      <xdr:rowOff>1199</xdr:rowOff>
    </xdr:to>
    <xdr:cxnSp macro="">
      <xdr:nvCxnSpPr>
        <xdr:cNvPr id="49" name="Conector recto de flecha 48">
          <a:extLst>
            <a:ext uri="{FF2B5EF4-FFF2-40B4-BE49-F238E27FC236}">
              <a16:creationId xmlns:a16="http://schemas.microsoft.com/office/drawing/2014/main" id="{A0BE9060-85C8-4DD2-8D27-0EF5EAE45966}"/>
            </a:ext>
          </a:extLst>
        </xdr:cNvPr>
        <xdr:cNvCxnSpPr>
          <a:stCxn id="3" idx="3"/>
        </xdr:cNvCxnSpPr>
      </xdr:nvCxnSpPr>
      <xdr:spPr>
        <a:xfrm flipV="1">
          <a:off x="11788506" y="2757766"/>
          <a:ext cx="586309" cy="568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781002</xdr:colOff>
      <xdr:row>22</xdr:row>
      <xdr:rowOff>11207</xdr:rowOff>
    </xdr:from>
    <xdr:to>
      <xdr:col>2</xdr:col>
      <xdr:colOff>101339</xdr:colOff>
      <xdr:row>28</xdr:row>
      <xdr:rowOff>89649</xdr:rowOff>
    </xdr:to>
    <xdr:sp macro="" textlink="">
      <xdr:nvSpPr>
        <xdr:cNvPr id="55" name="Flecha: hacia arriba 54">
          <a:extLst>
            <a:ext uri="{FF2B5EF4-FFF2-40B4-BE49-F238E27FC236}">
              <a16:creationId xmlns:a16="http://schemas.microsoft.com/office/drawing/2014/main" id="{5B05EA6D-58BA-21FB-A734-B2D8E95CB44C}"/>
            </a:ext>
          </a:extLst>
        </xdr:cNvPr>
        <xdr:cNvSpPr/>
      </xdr:nvSpPr>
      <xdr:spPr>
        <a:xfrm>
          <a:off x="781002" y="4699164"/>
          <a:ext cx="993424" cy="1180028"/>
        </a:xfrm>
        <a:prstGeom prst="upArrow">
          <a:avLst>
            <a:gd name="adj1" fmla="val 86601"/>
            <a:gd name="adj2" fmla="val 500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OBJETO</a:t>
          </a:r>
        </a:p>
        <a:p>
          <a:pPr algn="ctr"/>
          <a:r>
            <a:rPr lang="es-AR" sz="1100" b="1"/>
            <a:t>TEMPORAL</a:t>
          </a:r>
        </a:p>
      </xdr:txBody>
    </xdr:sp>
    <xdr:clientData/>
  </xdr:twoCellAnchor>
  <xdr:twoCellAnchor>
    <xdr:from>
      <xdr:col>11</xdr:col>
      <xdr:colOff>608559</xdr:colOff>
      <xdr:row>34</xdr:row>
      <xdr:rowOff>173690</xdr:rowOff>
    </xdr:from>
    <xdr:to>
      <xdr:col>13</xdr:col>
      <xdr:colOff>164086</xdr:colOff>
      <xdr:row>39</xdr:row>
      <xdr:rowOff>213471</xdr:rowOff>
    </xdr:to>
    <xdr:sp macro="" textlink="">
      <xdr:nvSpPr>
        <xdr:cNvPr id="56" name="Flecha: hacia arriba 55">
          <a:extLst>
            <a:ext uri="{FF2B5EF4-FFF2-40B4-BE49-F238E27FC236}">
              <a16:creationId xmlns:a16="http://schemas.microsoft.com/office/drawing/2014/main" id="{E6FF1467-CE82-4B1B-B5F7-0A87E614C2C2}"/>
            </a:ext>
          </a:extLst>
        </xdr:cNvPr>
        <xdr:cNvSpPr/>
      </xdr:nvSpPr>
      <xdr:spPr>
        <a:xfrm>
          <a:off x="10446523" y="6922833"/>
          <a:ext cx="1242813" cy="1114745"/>
        </a:xfrm>
        <a:prstGeom prst="upArrow">
          <a:avLst>
            <a:gd name="adj1" fmla="val 86601"/>
            <a:gd name="adj2" fmla="val 500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OBJETOS</a:t>
          </a:r>
        </a:p>
        <a:p>
          <a:pPr algn="ctr"/>
          <a:r>
            <a:rPr lang="es-AR" sz="1100" b="1"/>
            <a:t>PERMANENTES</a:t>
          </a:r>
        </a:p>
      </xdr:txBody>
    </xdr:sp>
    <xdr:clientData/>
  </xdr:twoCellAnchor>
  <xdr:oneCellAnchor>
    <xdr:from>
      <xdr:col>20</xdr:col>
      <xdr:colOff>46663</xdr:colOff>
      <xdr:row>53</xdr:row>
      <xdr:rowOff>5443</xdr:rowOff>
    </xdr:from>
    <xdr:ext cx="149085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CuadroTexto 60">
              <a:extLst>
                <a:ext uri="{FF2B5EF4-FFF2-40B4-BE49-F238E27FC236}">
                  <a16:creationId xmlns:a16="http://schemas.microsoft.com/office/drawing/2014/main" id="{B25AC828-F76B-E432-D8DE-7354BDE3AD06}"/>
                </a:ext>
              </a:extLst>
            </xdr:cNvPr>
            <xdr:cNvSpPr txBox="1"/>
          </xdr:nvSpPr>
          <xdr:spPr>
            <a:xfrm>
              <a:off x="17763163" y="9283914"/>
              <a:ext cx="149085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𝑋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= 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𝐴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+ 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𝑅𝑁𝐷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(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𝐵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− 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𝐴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s-AR" sz="1400" b="1" i="0"/>
            </a:p>
          </xdr:txBody>
        </xdr:sp>
      </mc:Choice>
      <mc:Fallback xmlns="">
        <xdr:sp macro="" textlink="">
          <xdr:nvSpPr>
            <xdr:cNvPr id="61" name="CuadroTexto 60">
              <a:extLst>
                <a:ext uri="{FF2B5EF4-FFF2-40B4-BE49-F238E27FC236}">
                  <a16:creationId xmlns:a16="http://schemas.microsoft.com/office/drawing/2014/main" id="{B25AC828-F76B-E432-D8DE-7354BDE3AD06}"/>
                </a:ext>
              </a:extLst>
            </xdr:cNvPr>
            <xdr:cNvSpPr txBox="1"/>
          </xdr:nvSpPr>
          <xdr:spPr>
            <a:xfrm>
              <a:off x="17763163" y="9283914"/>
              <a:ext cx="149085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AR" sz="1400" b="1" i="0" u="none" strike="noStrike" baseline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"𝑋 = 𝐴 + 𝑅𝑁𝐷(𝐵 − 𝐴)</a:t>
              </a:r>
              <a:r>
                <a:rPr lang="es-AR" sz="1400" b="1" i="0" u="none" strike="noStrike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</a:t>
              </a:r>
              <a:endParaRPr lang="es-AR" sz="1400" b="1" i="0"/>
            </a:p>
          </xdr:txBody>
        </xdr:sp>
      </mc:Fallback>
    </mc:AlternateContent>
    <xdr:clientData/>
  </xdr:oneCellAnchor>
  <xdr:twoCellAnchor>
    <xdr:from>
      <xdr:col>17</xdr:col>
      <xdr:colOff>7203</xdr:colOff>
      <xdr:row>37</xdr:row>
      <xdr:rowOff>7202</xdr:rowOff>
    </xdr:from>
    <xdr:to>
      <xdr:col>27</xdr:col>
      <xdr:colOff>829235</xdr:colOff>
      <xdr:row>38</xdr:row>
      <xdr:rowOff>175289</xdr:rowOff>
    </xdr:to>
    <xdr:sp macro="" textlink="">
      <xdr:nvSpPr>
        <xdr:cNvPr id="62" name="Rectángulo: esquinas redondeadas 61">
          <a:extLst>
            <a:ext uri="{FF2B5EF4-FFF2-40B4-BE49-F238E27FC236}">
              <a16:creationId xmlns:a16="http://schemas.microsoft.com/office/drawing/2014/main" id="{FE9388BE-B35E-470C-A1D4-9C2C4C6EF9B6}"/>
            </a:ext>
          </a:extLst>
        </xdr:cNvPr>
        <xdr:cNvSpPr/>
      </xdr:nvSpPr>
      <xdr:spPr>
        <a:xfrm>
          <a:off x="14642085" y="6316114"/>
          <a:ext cx="9786738" cy="347381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800" b="1">
              <a:latin typeface="Arial" panose="020B0604020202020204" pitchFamily="34" charset="0"/>
              <a:cs typeface="Arial" panose="020B0604020202020204" pitchFamily="34" charset="0"/>
            </a:rPr>
            <a:t>VARIABLES ALEATORIAS</a:t>
          </a:r>
        </a:p>
      </xdr:txBody>
    </xdr:sp>
    <xdr:clientData/>
  </xdr:twoCellAnchor>
  <xdr:oneCellAnchor>
    <xdr:from>
      <xdr:col>20</xdr:col>
      <xdr:colOff>73879</xdr:colOff>
      <xdr:row>42</xdr:row>
      <xdr:rowOff>5442</xdr:rowOff>
    </xdr:from>
    <xdr:ext cx="152618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CuadroTexto 62">
              <a:extLst>
                <a:ext uri="{FF2B5EF4-FFF2-40B4-BE49-F238E27FC236}">
                  <a16:creationId xmlns:a16="http://schemas.microsoft.com/office/drawing/2014/main" id="{883AC5B2-BFA2-4812-28D5-76F90E454E5A}"/>
                </a:ext>
              </a:extLst>
            </xdr:cNvPr>
            <xdr:cNvSpPr txBox="1"/>
          </xdr:nvSpPr>
          <xdr:spPr>
            <a:xfrm>
              <a:off x="17790379" y="7222030"/>
              <a:ext cx="152618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AR" sz="1400" b="1"/>
                      <m:t>𝑋</m:t>
                    </m:r>
                    <m:r>
                      <m:rPr>
                        <m:nor/>
                      </m:rPr>
                      <a:rPr lang="es-AR" sz="1400" b="1"/>
                      <m:t> = −µ. </m:t>
                    </m:r>
                    <m:r>
                      <m:rPr>
                        <m:nor/>
                      </m:rPr>
                      <a:rPr lang="es-AR" sz="1400" b="1"/>
                      <m:t>ln</m:t>
                    </m:r>
                    <m:r>
                      <m:rPr>
                        <m:nor/>
                      </m:rPr>
                      <a:rPr lang="es-AR" sz="1400" b="1"/>
                      <m:t> (1 − </m:t>
                    </m:r>
                    <m:r>
                      <m:rPr>
                        <m:nor/>
                      </m:rPr>
                      <a:rPr lang="es-AR" sz="1400" b="1"/>
                      <m:t>𝑅𝑁𝐷</m:t>
                    </m:r>
                    <m:r>
                      <m:rPr>
                        <m:nor/>
                      </m:rPr>
                      <a:rPr lang="es-AR" sz="1400" b="1"/>
                      <m:t>)</m:t>
                    </m:r>
                  </m:oMath>
                </m:oMathPara>
              </a14:m>
              <a:endParaRPr lang="es-AR" sz="1400" b="1"/>
            </a:p>
          </xdr:txBody>
        </xdr:sp>
      </mc:Choice>
      <mc:Fallback xmlns="">
        <xdr:sp macro="" textlink="">
          <xdr:nvSpPr>
            <xdr:cNvPr id="63" name="CuadroTexto 62">
              <a:extLst>
                <a:ext uri="{FF2B5EF4-FFF2-40B4-BE49-F238E27FC236}">
                  <a16:creationId xmlns:a16="http://schemas.microsoft.com/office/drawing/2014/main" id="{883AC5B2-BFA2-4812-28D5-76F90E454E5A}"/>
                </a:ext>
              </a:extLst>
            </xdr:cNvPr>
            <xdr:cNvSpPr txBox="1"/>
          </xdr:nvSpPr>
          <xdr:spPr>
            <a:xfrm>
              <a:off x="17790379" y="7222030"/>
              <a:ext cx="152618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AR" sz="1400" b="1" i="0">
                  <a:latin typeface="Cambria Math" panose="02040503050406030204" pitchFamily="18" charset="0"/>
                </a:rPr>
                <a:t>"𝑋 = −µ. ln (1 − 𝑅𝑁𝐷)</a:t>
              </a:r>
              <a:r>
                <a:rPr lang="es-AR" sz="1400" b="1" i="0"/>
                <a:t>"</a:t>
              </a:r>
              <a:endParaRPr lang="es-AR" sz="1400" b="1"/>
            </a:p>
          </xdr:txBody>
        </xdr:sp>
      </mc:Fallback>
    </mc:AlternateContent>
    <xdr:clientData/>
  </xdr:oneCellAnchor>
  <xdr:oneCellAnchor>
    <xdr:from>
      <xdr:col>20</xdr:col>
      <xdr:colOff>49384</xdr:colOff>
      <xdr:row>54</xdr:row>
      <xdr:rowOff>157843</xdr:rowOff>
    </xdr:from>
    <xdr:ext cx="16914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CuadroTexto 63">
              <a:extLst>
                <a:ext uri="{FF2B5EF4-FFF2-40B4-BE49-F238E27FC236}">
                  <a16:creationId xmlns:a16="http://schemas.microsoft.com/office/drawing/2014/main" id="{20276E53-CE39-43D4-8506-4C57FEC5F880}"/>
                </a:ext>
              </a:extLst>
            </xdr:cNvPr>
            <xdr:cNvSpPr txBox="1"/>
          </xdr:nvSpPr>
          <xdr:spPr>
            <a:xfrm>
              <a:off x="17765884" y="9626814"/>
              <a:ext cx="16914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rPr>
                      <m:t>𝑋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rPr>
                      <m:t> = 40 + 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rPr>
                      <m:t>𝑅𝑁𝐷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rPr>
                      <m:t>(60 − 40)</m:t>
                    </m:r>
                  </m:oMath>
                </m:oMathPara>
              </a14:m>
              <a:endParaRPr lang="es-AR" sz="14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64" name="CuadroTexto 63">
              <a:extLst>
                <a:ext uri="{FF2B5EF4-FFF2-40B4-BE49-F238E27FC236}">
                  <a16:creationId xmlns:a16="http://schemas.microsoft.com/office/drawing/2014/main" id="{20276E53-CE39-43D4-8506-4C57FEC5F880}"/>
                </a:ext>
              </a:extLst>
            </xdr:cNvPr>
            <xdr:cNvSpPr txBox="1"/>
          </xdr:nvSpPr>
          <xdr:spPr>
            <a:xfrm>
              <a:off x="17765884" y="9626814"/>
              <a:ext cx="16914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AR" sz="1400" b="1" i="0" u="none" strike="noStrike" baseline="0">
                  <a:solidFill>
                    <a:srgbClr val="FF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"𝑋 = 40 + 𝑅𝑁𝐷(60 − 40)</a:t>
              </a:r>
              <a:r>
                <a:rPr lang="es-AR" sz="1400" b="1" i="0" u="none" strike="noStrike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"</a:t>
              </a:r>
              <a:endParaRPr lang="es-AR" sz="14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73879</xdr:colOff>
      <xdr:row>44</xdr:row>
      <xdr:rowOff>5442</xdr:rowOff>
    </xdr:from>
    <xdr:ext cx="1606978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CuadroTexto 64">
              <a:extLst>
                <a:ext uri="{FF2B5EF4-FFF2-40B4-BE49-F238E27FC236}">
                  <a16:creationId xmlns:a16="http://schemas.microsoft.com/office/drawing/2014/main" id="{058B8FEE-DC8C-400E-8A35-55A9DEAB6CE8}"/>
                </a:ext>
              </a:extLst>
            </xdr:cNvPr>
            <xdr:cNvSpPr txBox="1"/>
          </xdr:nvSpPr>
          <xdr:spPr>
            <a:xfrm>
              <a:off x="17790379" y="7591824"/>
              <a:ext cx="160697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𝑋</m:t>
                    </m:r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 = −30. </m:t>
                    </m:r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ln</m:t>
                    </m:r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 (1 − </m:t>
                    </m:r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𝑅𝑁𝐷</m:t>
                    </m:r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)</m:t>
                    </m:r>
                  </m:oMath>
                </m:oMathPara>
              </a14:m>
              <a:endParaRPr lang="es-AR" sz="1400" b="1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65" name="CuadroTexto 64">
              <a:extLst>
                <a:ext uri="{FF2B5EF4-FFF2-40B4-BE49-F238E27FC236}">
                  <a16:creationId xmlns:a16="http://schemas.microsoft.com/office/drawing/2014/main" id="{058B8FEE-DC8C-400E-8A35-55A9DEAB6CE8}"/>
                </a:ext>
              </a:extLst>
            </xdr:cNvPr>
            <xdr:cNvSpPr txBox="1"/>
          </xdr:nvSpPr>
          <xdr:spPr>
            <a:xfrm>
              <a:off x="17790379" y="7591824"/>
              <a:ext cx="160697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AR" sz="14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"𝑋 = −30. ln (1 − 𝑅𝑁𝐷)</a:t>
              </a:r>
              <a:r>
                <a:rPr lang="es-AR" sz="1400" b="1" i="0">
                  <a:solidFill>
                    <a:srgbClr val="FF0000"/>
                  </a:solidFill>
                </a:rPr>
                <a:t>"</a:t>
              </a:r>
              <a:endParaRPr lang="es-AR" sz="1400" b="1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twoCellAnchor>
    <xdr:from>
      <xdr:col>1</xdr:col>
      <xdr:colOff>13606</xdr:colOff>
      <xdr:row>41</xdr:row>
      <xdr:rowOff>170489</xdr:rowOff>
    </xdr:from>
    <xdr:to>
      <xdr:col>15</xdr:col>
      <xdr:colOff>13607</xdr:colOff>
      <xdr:row>43</xdr:row>
      <xdr:rowOff>165394</xdr:rowOff>
    </xdr:to>
    <xdr:sp macro="" textlink="">
      <xdr:nvSpPr>
        <xdr:cNvPr id="70" name="Rectángulo: esquinas redondeadas 69">
          <a:extLst>
            <a:ext uri="{FF2B5EF4-FFF2-40B4-BE49-F238E27FC236}">
              <a16:creationId xmlns:a16="http://schemas.microsoft.com/office/drawing/2014/main" id="{8F13CD6C-7A0B-4A63-AF1B-53857268912D}"/>
            </a:ext>
          </a:extLst>
        </xdr:cNvPr>
        <xdr:cNvSpPr/>
      </xdr:nvSpPr>
      <xdr:spPr>
        <a:xfrm>
          <a:off x="857249" y="9695489"/>
          <a:ext cx="12178394" cy="348691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800" b="1">
              <a:latin typeface="Arial" panose="020B0604020202020204" pitchFamily="34" charset="0"/>
              <a:cs typeface="Arial" panose="020B0604020202020204" pitchFamily="34" charset="0"/>
            </a:rPr>
            <a:t>COLAS</a:t>
          </a:r>
        </a:p>
      </xdr:txBody>
    </xdr:sp>
    <xdr:clientData/>
  </xdr:twoCellAnchor>
  <xdr:twoCellAnchor>
    <xdr:from>
      <xdr:col>0</xdr:col>
      <xdr:colOff>484909</xdr:colOff>
      <xdr:row>1</xdr:row>
      <xdr:rowOff>17318</xdr:rowOff>
    </xdr:from>
    <xdr:to>
      <xdr:col>29</xdr:col>
      <xdr:colOff>17318</xdr:colOff>
      <xdr:row>70</xdr:row>
      <xdr:rowOff>16565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2C1BA1F1-D355-CF52-1DE0-E0CC10C072D1}"/>
            </a:ext>
          </a:extLst>
        </xdr:cNvPr>
        <xdr:cNvSpPr/>
      </xdr:nvSpPr>
      <xdr:spPr>
        <a:xfrm>
          <a:off x="484909" y="199535"/>
          <a:ext cx="24694974" cy="13118900"/>
        </a:xfrm>
        <a:prstGeom prst="roundRect">
          <a:avLst>
            <a:gd name="adj" fmla="val 733"/>
          </a:avLst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160243</xdr:colOff>
      <xdr:row>19</xdr:row>
      <xdr:rowOff>128305</xdr:rowOff>
    </xdr:from>
    <xdr:to>
      <xdr:col>7</xdr:col>
      <xdr:colOff>711013</xdr:colOff>
      <xdr:row>22</xdr:row>
      <xdr:rowOff>96369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E48FF58-B7EA-46AF-AD67-FBC914802C5F}"/>
            </a:ext>
          </a:extLst>
        </xdr:cNvPr>
        <xdr:cNvSpPr/>
      </xdr:nvSpPr>
      <xdr:spPr>
        <a:xfrm>
          <a:off x="3522008" y="4252070"/>
          <a:ext cx="1391211" cy="550770"/>
        </a:xfrm>
        <a:prstGeom prst="roundRect">
          <a:avLst/>
        </a:prstGeom>
        <a:solidFill>
          <a:schemeClr val="dk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400" b="1">
              <a:latin typeface="Arial" panose="020B0604020202020204" pitchFamily="34" charset="0"/>
              <a:cs typeface="Arial" panose="020B0604020202020204" pitchFamily="34" charset="0"/>
            </a:rPr>
            <a:t>TRIAGE</a:t>
          </a:r>
        </a:p>
      </xdr:txBody>
    </xdr:sp>
    <xdr:clientData/>
  </xdr:twoCellAnchor>
  <xdr:twoCellAnchor>
    <xdr:from>
      <xdr:col>7</xdr:col>
      <xdr:colOff>711013</xdr:colOff>
      <xdr:row>12</xdr:row>
      <xdr:rowOff>2880</xdr:rowOff>
    </xdr:from>
    <xdr:to>
      <xdr:col>11</xdr:col>
      <xdr:colOff>555330</xdr:colOff>
      <xdr:row>21</xdr:row>
      <xdr:rowOff>31375</xdr:rowOff>
    </xdr:to>
    <xdr:cxnSp macro="">
      <xdr:nvCxnSpPr>
        <xdr:cNvPr id="23" name="Conector: angular 22">
          <a:extLst>
            <a:ext uri="{FF2B5EF4-FFF2-40B4-BE49-F238E27FC236}">
              <a16:creationId xmlns:a16="http://schemas.microsoft.com/office/drawing/2014/main" id="{561ACB6F-9B35-7E90-5522-CFE352D351E5}"/>
            </a:ext>
          </a:extLst>
        </xdr:cNvPr>
        <xdr:cNvCxnSpPr>
          <a:stCxn id="10" idx="3"/>
          <a:endCxn id="3" idx="1"/>
        </xdr:cNvCxnSpPr>
      </xdr:nvCxnSpPr>
      <xdr:spPr>
        <a:xfrm flipV="1">
          <a:off x="6578413" y="2803230"/>
          <a:ext cx="3759092" cy="1695370"/>
        </a:xfrm>
        <a:prstGeom prst="bentConnector3">
          <a:avLst>
            <a:gd name="adj1" fmla="val 363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711013</xdr:colOff>
      <xdr:row>21</xdr:row>
      <xdr:rowOff>30694</xdr:rowOff>
    </xdr:from>
    <xdr:to>
      <xdr:col>11</xdr:col>
      <xdr:colOff>579424</xdr:colOff>
      <xdr:row>30</xdr:row>
      <xdr:rowOff>143636</xdr:rowOff>
    </xdr:to>
    <xdr:cxnSp macro="">
      <xdr:nvCxnSpPr>
        <xdr:cNvPr id="39" name="Conector: angular 38">
          <a:extLst>
            <a:ext uri="{FF2B5EF4-FFF2-40B4-BE49-F238E27FC236}">
              <a16:creationId xmlns:a16="http://schemas.microsoft.com/office/drawing/2014/main" id="{3F03FFCF-0480-A708-2C90-9AEFBBD6DE36}"/>
            </a:ext>
          </a:extLst>
        </xdr:cNvPr>
        <xdr:cNvCxnSpPr>
          <a:stCxn id="10" idx="3"/>
          <a:endCxn id="6" idx="1"/>
        </xdr:cNvCxnSpPr>
      </xdr:nvCxnSpPr>
      <xdr:spPr>
        <a:xfrm>
          <a:off x="6616513" y="4439408"/>
          <a:ext cx="3800875" cy="1745799"/>
        </a:xfrm>
        <a:prstGeom prst="bentConnector3">
          <a:avLst>
            <a:gd name="adj1" fmla="val 346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10975</xdr:colOff>
      <xdr:row>12</xdr:row>
      <xdr:rowOff>54251</xdr:rowOff>
    </xdr:from>
    <xdr:to>
      <xdr:col>8</xdr:col>
      <xdr:colOff>11208</xdr:colOff>
      <xdr:row>15</xdr:row>
      <xdr:rowOff>142875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61D63BEC-BF6C-44B2-9E5F-1AF11C9BCC94}"/>
            </a:ext>
          </a:extLst>
        </xdr:cNvPr>
        <xdr:cNvSpPr/>
      </xdr:nvSpPr>
      <xdr:spPr>
        <a:xfrm>
          <a:off x="5878375" y="2854601"/>
          <a:ext cx="838433" cy="6315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P() 70%</a:t>
          </a:r>
        </a:p>
      </xdr:txBody>
    </xdr:sp>
    <xdr:clientData/>
  </xdr:twoCellAnchor>
  <xdr:twoCellAnchor>
    <xdr:from>
      <xdr:col>7</xdr:col>
      <xdr:colOff>40110</xdr:colOff>
      <xdr:row>25</xdr:row>
      <xdr:rowOff>123826</xdr:rowOff>
    </xdr:from>
    <xdr:to>
      <xdr:col>8</xdr:col>
      <xdr:colOff>40343</xdr:colOff>
      <xdr:row>30</xdr:row>
      <xdr:rowOff>163374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3D3B8A09-5DD4-49FA-B72C-AB63EEFAE779}"/>
            </a:ext>
          </a:extLst>
        </xdr:cNvPr>
        <xdr:cNvSpPr/>
      </xdr:nvSpPr>
      <xdr:spPr>
        <a:xfrm>
          <a:off x="5907510" y="5343526"/>
          <a:ext cx="838433" cy="95394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6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P()</a:t>
          </a:r>
        </a:p>
        <a:p>
          <a:pPr algn="ctr"/>
          <a:r>
            <a:rPr lang="es-AR" sz="1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30%</a:t>
          </a:r>
        </a:p>
      </xdr:txBody>
    </xdr:sp>
    <xdr:clientData/>
  </xdr:twoCellAnchor>
  <xdr:twoCellAnchor>
    <xdr:from>
      <xdr:col>8</xdr:col>
      <xdr:colOff>544619</xdr:colOff>
      <xdr:row>11</xdr:row>
      <xdr:rowOff>1097</xdr:rowOff>
    </xdr:from>
    <xdr:to>
      <xdr:col>8</xdr:col>
      <xdr:colOff>687479</xdr:colOff>
      <xdr:row>11</xdr:row>
      <xdr:rowOff>137331</xdr:rowOff>
    </xdr:to>
    <xdr:sp macro="" textlink="">
      <xdr:nvSpPr>
        <xdr:cNvPr id="54" name="Elipse 53">
          <a:extLst>
            <a:ext uri="{FF2B5EF4-FFF2-40B4-BE49-F238E27FC236}">
              <a16:creationId xmlns:a16="http://schemas.microsoft.com/office/drawing/2014/main" id="{B1EB20E8-CEA1-4B11-9CDF-1817743972C0}"/>
            </a:ext>
          </a:extLst>
        </xdr:cNvPr>
        <xdr:cNvSpPr/>
      </xdr:nvSpPr>
      <xdr:spPr>
        <a:xfrm>
          <a:off x="7236967" y="2088314"/>
          <a:ext cx="142860" cy="13623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767620</xdr:colOff>
      <xdr:row>11</xdr:row>
      <xdr:rowOff>2411</xdr:rowOff>
    </xdr:from>
    <xdr:to>
      <xdr:col>9</xdr:col>
      <xdr:colOff>73353</xdr:colOff>
      <xdr:row>11</xdr:row>
      <xdr:rowOff>138645</xdr:rowOff>
    </xdr:to>
    <xdr:sp macro="" textlink="">
      <xdr:nvSpPr>
        <xdr:cNvPr id="58" name="Elipse 57">
          <a:extLst>
            <a:ext uri="{FF2B5EF4-FFF2-40B4-BE49-F238E27FC236}">
              <a16:creationId xmlns:a16="http://schemas.microsoft.com/office/drawing/2014/main" id="{10739BDD-20B8-446C-BCFE-8E1A7E7F6068}"/>
            </a:ext>
          </a:extLst>
        </xdr:cNvPr>
        <xdr:cNvSpPr/>
      </xdr:nvSpPr>
      <xdr:spPr>
        <a:xfrm>
          <a:off x="7459968" y="2089628"/>
          <a:ext cx="142276" cy="13623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9</xdr:col>
      <xdr:colOff>153494</xdr:colOff>
      <xdr:row>10</xdr:row>
      <xdr:rowOff>176417</xdr:rowOff>
    </xdr:from>
    <xdr:to>
      <xdr:col>9</xdr:col>
      <xdr:colOff>298011</xdr:colOff>
      <xdr:row>11</xdr:row>
      <xdr:rowOff>139959</xdr:rowOff>
    </xdr:to>
    <xdr:sp macro="" textlink="">
      <xdr:nvSpPr>
        <xdr:cNvPr id="59" name="Elipse 58">
          <a:extLst>
            <a:ext uri="{FF2B5EF4-FFF2-40B4-BE49-F238E27FC236}">
              <a16:creationId xmlns:a16="http://schemas.microsoft.com/office/drawing/2014/main" id="{E5F700CD-91FB-4DB6-8829-BD86F529A9E3}"/>
            </a:ext>
          </a:extLst>
        </xdr:cNvPr>
        <xdr:cNvSpPr/>
      </xdr:nvSpPr>
      <xdr:spPr>
        <a:xfrm>
          <a:off x="7682385" y="2081417"/>
          <a:ext cx="144517" cy="14575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540137</xdr:colOff>
      <xdr:row>29</xdr:row>
      <xdr:rowOff>89184</xdr:rowOff>
    </xdr:from>
    <xdr:to>
      <xdr:col>8</xdr:col>
      <xdr:colOff>682997</xdr:colOff>
      <xdr:row>30</xdr:row>
      <xdr:rowOff>54407</xdr:rowOff>
    </xdr:to>
    <xdr:sp macro="" textlink="">
      <xdr:nvSpPr>
        <xdr:cNvPr id="73" name="Elipse 72">
          <a:extLst>
            <a:ext uri="{FF2B5EF4-FFF2-40B4-BE49-F238E27FC236}">
              <a16:creationId xmlns:a16="http://schemas.microsoft.com/office/drawing/2014/main" id="{9BF55B39-00D7-4145-8EC5-294B294BA967}"/>
            </a:ext>
          </a:extLst>
        </xdr:cNvPr>
        <xdr:cNvSpPr/>
      </xdr:nvSpPr>
      <xdr:spPr>
        <a:xfrm>
          <a:off x="7232485" y="5655097"/>
          <a:ext cx="142860" cy="15572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763138</xdr:colOff>
      <xdr:row>29</xdr:row>
      <xdr:rowOff>90498</xdr:rowOff>
    </xdr:from>
    <xdr:to>
      <xdr:col>9</xdr:col>
      <xdr:colOff>68871</xdr:colOff>
      <xdr:row>30</xdr:row>
      <xdr:rowOff>55721</xdr:rowOff>
    </xdr:to>
    <xdr:sp macro="" textlink="">
      <xdr:nvSpPr>
        <xdr:cNvPr id="74" name="Elipse 73">
          <a:extLst>
            <a:ext uri="{FF2B5EF4-FFF2-40B4-BE49-F238E27FC236}">
              <a16:creationId xmlns:a16="http://schemas.microsoft.com/office/drawing/2014/main" id="{CE64900B-8EEF-4B0D-8890-C83AFA2B22DE}"/>
            </a:ext>
          </a:extLst>
        </xdr:cNvPr>
        <xdr:cNvSpPr/>
      </xdr:nvSpPr>
      <xdr:spPr>
        <a:xfrm>
          <a:off x="7455486" y="5656411"/>
          <a:ext cx="142276" cy="15572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9</xdr:col>
      <xdr:colOff>149012</xdr:colOff>
      <xdr:row>29</xdr:row>
      <xdr:rowOff>91812</xdr:rowOff>
    </xdr:from>
    <xdr:to>
      <xdr:col>9</xdr:col>
      <xdr:colOff>293529</xdr:colOff>
      <xdr:row>30</xdr:row>
      <xdr:rowOff>57035</xdr:rowOff>
    </xdr:to>
    <xdr:sp macro="" textlink="">
      <xdr:nvSpPr>
        <xdr:cNvPr id="75" name="Elipse 74">
          <a:extLst>
            <a:ext uri="{FF2B5EF4-FFF2-40B4-BE49-F238E27FC236}">
              <a16:creationId xmlns:a16="http://schemas.microsoft.com/office/drawing/2014/main" id="{E5512F90-CAB6-46E5-B95B-3B68EC7DEC49}"/>
            </a:ext>
          </a:extLst>
        </xdr:cNvPr>
        <xdr:cNvSpPr/>
      </xdr:nvSpPr>
      <xdr:spPr>
        <a:xfrm>
          <a:off x="7677903" y="5657725"/>
          <a:ext cx="144517" cy="15572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27218</xdr:colOff>
      <xdr:row>12</xdr:row>
      <xdr:rowOff>85164</xdr:rowOff>
    </xdr:from>
    <xdr:to>
      <xdr:col>9</xdr:col>
      <xdr:colOff>791459</xdr:colOff>
      <xdr:row>15</xdr:row>
      <xdr:rowOff>111826</xdr:rowOff>
    </xdr:to>
    <xdr:sp macro="" textlink="">
      <xdr:nvSpPr>
        <xdr:cNvPr id="80" name="Rectángulo 79">
          <a:extLst>
            <a:ext uri="{FF2B5EF4-FFF2-40B4-BE49-F238E27FC236}">
              <a16:creationId xmlns:a16="http://schemas.microsoft.com/office/drawing/2014/main" id="{83648B8B-5C75-4A50-AC9B-53A80E0A2D85}"/>
            </a:ext>
          </a:extLst>
        </xdr:cNvPr>
        <xdr:cNvSpPr/>
      </xdr:nvSpPr>
      <xdr:spPr>
        <a:xfrm>
          <a:off x="6719566" y="2354599"/>
          <a:ext cx="1600784" cy="5733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COLA Odontólogo</a:t>
          </a:r>
        </a:p>
      </xdr:txBody>
    </xdr:sp>
    <xdr:clientData/>
  </xdr:twoCellAnchor>
  <xdr:twoCellAnchor>
    <xdr:from>
      <xdr:col>8</xdr:col>
      <xdr:colOff>78765</xdr:colOff>
      <xdr:row>31</xdr:row>
      <xdr:rowOff>47064</xdr:rowOff>
    </xdr:from>
    <xdr:to>
      <xdr:col>9</xdr:col>
      <xdr:colOff>784175</xdr:colOff>
      <xdr:row>34</xdr:row>
      <xdr:rowOff>73726</xdr:rowOff>
    </xdr:to>
    <xdr:sp macro="" textlink="">
      <xdr:nvSpPr>
        <xdr:cNvPr id="81" name="Rectángulo 80">
          <a:extLst>
            <a:ext uri="{FF2B5EF4-FFF2-40B4-BE49-F238E27FC236}">
              <a16:creationId xmlns:a16="http://schemas.microsoft.com/office/drawing/2014/main" id="{C0AA9E84-1473-456F-A6FC-D3F0B5477E07}"/>
            </a:ext>
          </a:extLst>
        </xdr:cNvPr>
        <xdr:cNvSpPr/>
      </xdr:nvSpPr>
      <xdr:spPr>
        <a:xfrm>
          <a:off x="6771113" y="5985694"/>
          <a:ext cx="1541953" cy="5733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COLA Cirujano</a:t>
          </a:r>
        </a:p>
      </xdr:txBody>
    </xdr:sp>
    <xdr:clientData/>
  </xdr:twoCellAnchor>
  <xdr:twoCellAnchor>
    <xdr:from>
      <xdr:col>0</xdr:col>
      <xdr:colOff>818029</xdr:colOff>
      <xdr:row>21</xdr:row>
      <xdr:rowOff>49304</xdr:rowOff>
    </xdr:from>
    <xdr:to>
      <xdr:col>4</xdr:col>
      <xdr:colOff>38099</xdr:colOff>
      <xdr:row>21</xdr:row>
      <xdr:rowOff>49304</xdr:rowOff>
    </xdr:to>
    <xdr:cxnSp macro="">
      <xdr:nvCxnSpPr>
        <xdr:cNvPr id="86" name="Conector recto de flecha 85">
          <a:extLst>
            <a:ext uri="{FF2B5EF4-FFF2-40B4-BE49-F238E27FC236}">
              <a16:creationId xmlns:a16="http://schemas.microsoft.com/office/drawing/2014/main" id="{67503F51-38DD-427D-AFE6-C6A93D050703}"/>
            </a:ext>
          </a:extLst>
        </xdr:cNvPr>
        <xdr:cNvCxnSpPr/>
      </xdr:nvCxnSpPr>
      <xdr:spPr>
        <a:xfrm>
          <a:off x="818029" y="4531657"/>
          <a:ext cx="1741394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363931</xdr:colOff>
      <xdr:row>20</xdr:row>
      <xdr:rowOff>30913</xdr:rowOff>
    </xdr:from>
    <xdr:to>
      <xdr:col>1</xdr:col>
      <xdr:colOff>504550</xdr:colOff>
      <xdr:row>20</xdr:row>
      <xdr:rowOff>175430</xdr:rowOff>
    </xdr:to>
    <xdr:sp macro="" textlink="">
      <xdr:nvSpPr>
        <xdr:cNvPr id="88" name="Elipse 87">
          <a:extLst>
            <a:ext uri="{FF2B5EF4-FFF2-40B4-BE49-F238E27FC236}">
              <a16:creationId xmlns:a16="http://schemas.microsoft.com/office/drawing/2014/main" id="{F80C2A82-2CCC-4CE7-99A4-E4958915FA35}"/>
            </a:ext>
          </a:extLst>
        </xdr:cNvPr>
        <xdr:cNvSpPr/>
      </xdr:nvSpPr>
      <xdr:spPr>
        <a:xfrm>
          <a:off x="1200474" y="4321304"/>
          <a:ext cx="140619" cy="144517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434106</xdr:colOff>
      <xdr:row>17</xdr:row>
      <xdr:rowOff>96956</xdr:rowOff>
    </xdr:from>
    <xdr:to>
      <xdr:col>2</xdr:col>
      <xdr:colOff>434106</xdr:colOff>
      <xdr:row>20</xdr:row>
      <xdr:rowOff>101206</xdr:rowOff>
    </xdr:to>
    <xdr:sp macro="" textlink="">
      <xdr:nvSpPr>
        <xdr:cNvPr id="89" name="Rectángulo 88">
          <a:extLst>
            <a:ext uri="{FF2B5EF4-FFF2-40B4-BE49-F238E27FC236}">
              <a16:creationId xmlns:a16="http://schemas.microsoft.com/office/drawing/2014/main" id="{74B634FB-788B-431B-BD45-F0090D2DDD02}"/>
            </a:ext>
          </a:extLst>
        </xdr:cNvPr>
        <xdr:cNvSpPr/>
      </xdr:nvSpPr>
      <xdr:spPr>
        <a:xfrm>
          <a:off x="434106" y="3815847"/>
          <a:ext cx="1673087" cy="57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PACIENTE</a:t>
          </a:r>
        </a:p>
      </xdr:txBody>
    </xdr:sp>
    <xdr:clientData/>
  </xdr:twoCellAnchor>
  <xdr:twoCellAnchor>
    <xdr:from>
      <xdr:col>13</xdr:col>
      <xdr:colOff>281185</xdr:colOff>
      <xdr:row>30</xdr:row>
      <xdr:rowOff>147917</xdr:rowOff>
    </xdr:from>
    <xdr:to>
      <xdr:col>14</xdr:col>
      <xdr:colOff>23851</xdr:colOff>
      <xdr:row>30</xdr:row>
      <xdr:rowOff>153600</xdr:rowOff>
    </xdr:to>
    <xdr:cxnSp macro="">
      <xdr:nvCxnSpPr>
        <xdr:cNvPr id="97" name="Conector recto de flecha 96">
          <a:extLst>
            <a:ext uri="{FF2B5EF4-FFF2-40B4-BE49-F238E27FC236}">
              <a16:creationId xmlns:a16="http://schemas.microsoft.com/office/drawing/2014/main" id="{0FE3799F-D40E-408B-AF4E-71E0473A234C}"/>
            </a:ext>
          </a:extLst>
        </xdr:cNvPr>
        <xdr:cNvCxnSpPr/>
      </xdr:nvCxnSpPr>
      <xdr:spPr>
        <a:xfrm flipV="1">
          <a:off x="11806435" y="6189488"/>
          <a:ext cx="586309" cy="568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598715</xdr:colOff>
      <xdr:row>10</xdr:row>
      <xdr:rowOff>22411</xdr:rowOff>
    </xdr:from>
    <xdr:to>
      <xdr:col>10</xdr:col>
      <xdr:colOff>369796</xdr:colOff>
      <xdr:row>14</xdr:row>
      <xdr:rowOff>11206</xdr:rowOff>
    </xdr:to>
    <xdr:sp macro="" textlink="">
      <xdr:nvSpPr>
        <xdr:cNvPr id="102" name="Rombo 101">
          <a:extLst>
            <a:ext uri="{FF2B5EF4-FFF2-40B4-BE49-F238E27FC236}">
              <a16:creationId xmlns:a16="http://schemas.microsoft.com/office/drawing/2014/main" id="{088A1917-BDB6-2231-F4AF-3C910522BC0D}"/>
            </a:ext>
          </a:extLst>
        </xdr:cNvPr>
        <xdr:cNvSpPr/>
      </xdr:nvSpPr>
      <xdr:spPr>
        <a:xfrm>
          <a:off x="8191501" y="1927411"/>
          <a:ext cx="737188" cy="696366"/>
        </a:xfrm>
        <a:prstGeom prst="diamond">
          <a:avLst/>
        </a:prstGeom>
        <a:solidFill>
          <a:schemeClr val="dk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050" b="1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30'</a:t>
          </a:r>
          <a:r>
            <a:rPr lang="es-AR" sz="1050" b="1" baseline="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es-AR" sz="1050" b="1">
            <a:solidFill>
              <a:schemeClr val="lt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625929</xdr:colOff>
      <xdr:row>28</xdr:row>
      <xdr:rowOff>129987</xdr:rowOff>
    </xdr:from>
    <xdr:to>
      <xdr:col>10</xdr:col>
      <xdr:colOff>365314</xdr:colOff>
      <xdr:row>32</xdr:row>
      <xdr:rowOff>141194</xdr:rowOff>
    </xdr:to>
    <xdr:sp macro="" textlink="">
      <xdr:nvSpPr>
        <xdr:cNvPr id="103" name="Rombo 102">
          <a:extLst>
            <a:ext uri="{FF2B5EF4-FFF2-40B4-BE49-F238E27FC236}">
              <a16:creationId xmlns:a16="http://schemas.microsoft.com/office/drawing/2014/main" id="{62E59725-D54E-41CC-9225-96DA0B7FD289}"/>
            </a:ext>
          </a:extLst>
        </xdr:cNvPr>
        <xdr:cNvSpPr/>
      </xdr:nvSpPr>
      <xdr:spPr>
        <a:xfrm>
          <a:off x="8218715" y="5504808"/>
          <a:ext cx="705492" cy="732386"/>
        </a:xfrm>
        <a:prstGeom prst="diamond">
          <a:avLst/>
        </a:prstGeom>
        <a:solidFill>
          <a:schemeClr val="dk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050" b="1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30'</a:t>
          </a:r>
          <a:r>
            <a:rPr lang="es-AR" sz="1050" b="1" baseline="0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es-AR" sz="1050" b="1">
            <a:solidFill>
              <a:schemeClr val="lt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1202</xdr:colOff>
      <xdr:row>14</xdr:row>
      <xdr:rowOff>11206</xdr:rowOff>
    </xdr:from>
    <xdr:to>
      <xdr:col>13</xdr:col>
      <xdr:colOff>828674</xdr:colOff>
      <xdr:row>18</xdr:row>
      <xdr:rowOff>9523</xdr:rowOff>
    </xdr:to>
    <xdr:cxnSp macro="">
      <xdr:nvCxnSpPr>
        <xdr:cNvPr id="113" name="Conector: angular 112">
          <a:extLst>
            <a:ext uri="{FF2B5EF4-FFF2-40B4-BE49-F238E27FC236}">
              <a16:creationId xmlns:a16="http://schemas.microsoft.com/office/drawing/2014/main" id="{7936B486-1C6F-8700-F457-CBF1197F10D0}"/>
            </a:ext>
          </a:extLst>
        </xdr:cNvPr>
        <xdr:cNvCxnSpPr>
          <a:stCxn id="102" idx="2"/>
        </xdr:cNvCxnSpPr>
      </xdr:nvCxnSpPr>
      <xdr:spPr>
        <a:xfrm rot="16200000" flipH="1">
          <a:off x="9845529" y="1338343"/>
          <a:ext cx="787532" cy="3358400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12568</xdr:colOff>
      <xdr:row>25</xdr:row>
      <xdr:rowOff>9528</xdr:rowOff>
    </xdr:from>
    <xdr:to>
      <xdr:col>14</xdr:col>
      <xdr:colOff>9523</xdr:colOff>
      <xdr:row>28</xdr:row>
      <xdr:rowOff>129987</xdr:rowOff>
    </xdr:to>
    <xdr:cxnSp macro="">
      <xdr:nvCxnSpPr>
        <xdr:cNvPr id="115" name="Conector: angular 114">
          <a:extLst>
            <a:ext uri="{FF2B5EF4-FFF2-40B4-BE49-F238E27FC236}">
              <a16:creationId xmlns:a16="http://schemas.microsoft.com/office/drawing/2014/main" id="{D7EFD6BD-9733-B34F-E66A-332EED49E5B7}"/>
            </a:ext>
          </a:extLst>
        </xdr:cNvPr>
        <xdr:cNvCxnSpPr>
          <a:stCxn id="103" idx="0"/>
        </xdr:cNvCxnSpPr>
      </xdr:nvCxnSpPr>
      <xdr:spPr>
        <a:xfrm rot="5400000" flipH="1" flipV="1">
          <a:off x="9890834" y="3452655"/>
          <a:ext cx="732780" cy="3371526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214594</xdr:colOff>
      <xdr:row>9</xdr:row>
      <xdr:rowOff>75639</xdr:rowOff>
    </xdr:from>
    <xdr:to>
      <xdr:col>11</xdr:col>
      <xdr:colOff>581025</xdr:colOff>
      <xdr:row>12</xdr:row>
      <xdr:rowOff>83251</xdr:rowOff>
    </xdr:to>
    <xdr:sp macro="" textlink="">
      <xdr:nvSpPr>
        <xdr:cNvPr id="116" name="Rectángulo 115">
          <a:extLst>
            <a:ext uri="{FF2B5EF4-FFF2-40B4-BE49-F238E27FC236}">
              <a16:creationId xmlns:a16="http://schemas.microsoft.com/office/drawing/2014/main" id="{A6EC1482-BEBE-4731-9FBB-8244C4E70358}"/>
            </a:ext>
          </a:extLst>
        </xdr:cNvPr>
        <xdr:cNvSpPr/>
      </xdr:nvSpPr>
      <xdr:spPr>
        <a:xfrm>
          <a:off x="9158569" y="2314014"/>
          <a:ext cx="1204631" cy="5695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2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 mantiene en COLA</a:t>
          </a:r>
          <a:endParaRPr lang="es-AR" sz="16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109819</xdr:colOff>
      <xdr:row>16</xdr:row>
      <xdr:rowOff>104215</xdr:rowOff>
    </xdr:from>
    <xdr:to>
      <xdr:col>11</xdr:col>
      <xdr:colOff>723900</xdr:colOff>
      <xdr:row>18</xdr:row>
      <xdr:rowOff>38101</xdr:rowOff>
    </xdr:to>
    <xdr:sp macro="" textlink="">
      <xdr:nvSpPr>
        <xdr:cNvPr id="117" name="Rectángulo 116">
          <a:extLst>
            <a:ext uri="{FF2B5EF4-FFF2-40B4-BE49-F238E27FC236}">
              <a16:creationId xmlns:a16="http://schemas.microsoft.com/office/drawing/2014/main" id="{C00DB805-B8CB-4F1A-9036-D508C4618992}"/>
            </a:ext>
          </a:extLst>
        </xdr:cNvPr>
        <xdr:cNvSpPr/>
      </xdr:nvSpPr>
      <xdr:spPr>
        <a:xfrm>
          <a:off x="9053794" y="3628465"/>
          <a:ext cx="1452281" cy="3148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2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abandona la cola</a:t>
          </a:r>
        </a:p>
      </xdr:txBody>
    </xdr:sp>
    <xdr:clientData/>
  </xdr:twoCellAnchor>
  <xdr:twoCellAnchor>
    <xdr:from>
      <xdr:col>10</xdr:col>
      <xdr:colOff>271744</xdr:colOff>
      <xdr:row>28</xdr:row>
      <xdr:rowOff>8964</xdr:rowOff>
    </xdr:from>
    <xdr:to>
      <xdr:col>11</xdr:col>
      <xdr:colOff>638175</xdr:colOff>
      <xdr:row>31</xdr:row>
      <xdr:rowOff>35626</xdr:rowOff>
    </xdr:to>
    <xdr:sp macro="" textlink="">
      <xdr:nvSpPr>
        <xdr:cNvPr id="119" name="Rectángulo 118">
          <a:extLst>
            <a:ext uri="{FF2B5EF4-FFF2-40B4-BE49-F238E27FC236}">
              <a16:creationId xmlns:a16="http://schemas.microsoft.com/office/drawing/2014/main" id="{EA6FE075-7FBC-4BAA-8AEC-5AFA3DD2C6E3}"/>
            </a:ext>
          </a:extLst>
        </xdr:cNvPr>
        <xdr:cNvSpPr/>
      </xdr:nvSpPr>
      <xdr:spPr>
        <a:xfrm>
          <a:off x="9215719" y="5781114"/>
          <a:ext cx="1204631" cy="5695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2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se mantiene en COLA</a:t>
          </a:r>
          <a:endParaRPr lang="es-AR" sz="16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420550</xdr:colOff>
      <xdr:row>7</xdr:row>
      <xdr:rowOff>0</xdr:rowOff>
    </xdr:from>
    <xdr:to>
      <xdr:col>11</xdr:col>
      <xdr:colOff>420783</xdr:colOff>
      <xdr:row>10</xdr:row>
      <xdr:rowOff>57150</xdr:rowOff>
    </xdr:to>
    <xdr:sp macro="" textlink="">
      <xdr:nvSpPr>
        <xdr:cNvPr id="122" name="Rectángulo 121">
          <a:extLst>
            <a:ext uri="{FF2B5EF4-FFF2-40B4-BE49-F238E27FC236}">
              <a16:creationId xmlns:a16="http://schemas.microsoft.com/office/drawing/2014/main" id="{B2C59226-6D7B-4ACF-BE1D-FFD92A36E0D0}"/>
            </a:ext>
          </a:extLst>
        </xdr:cNvPr>
        <xdr:cNvSpPr/>
      </xdr:nvSpPr>
      <xdr:spPr>
        <a:xfrm>
          <a:off x="9364525" y="1844951"/>
          <a:ext cx="838433" cy="6315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P() 60%</a:t>
          </a:r>
        </a:p>
      </xdr:txBody>
    </xdr:sp>
    <xdr:clientData/>
  </xdr:twoCellAnchor>
  <xdr:twoCellAnchor>
    <xdr:from>
      <xdr:col>10</xdr:col>
      <xdr:colOff>468175</xdr:colOff>
      <xdr:row>25</xdr:row>
      <xdr:rowOff>101876</xdr:rowOff>
    </xdr:from>
    <xdr:to>
      <xdr:col>11</xdr:col>
      <xdr:colOff>468408</xdr:colOff>
      <xdr:row>29</xdr:row>
      <xdr:rowOff>0</xdr:rowOff>
    </xdr:to>
    <xdr:sp macro="" textlink="">
      <xdr:nvSpPr>
        <xdr:cNvPr id="123" name="Rectángulo 122">
          <a:extLst>
            <a:ext uri="{FF2B5EF4-FFF2-40B4-BE49-F238E27FC236}">
              <a16:creationId xmlns:a16="http://schemas.microsoft.com/office/drawing/2014/main" id="{0A83A53A-5307-4BDF-B20A-E77C176D4727}"/>
            </a:ext>
          </a:extLst>
        </xdr:cNvPr>
        <xdr:cNvSpPr/>
      </xdr:nvSpPr>
      <xdr:spPr>
        <a:xfrm>
          <a:off x="9412150" y="5321576"/>
          <a:ext cx="838433" cy="6315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P() 60%</a:t>
          </a:r>
        </a:p>
      </xdr:txBody>
    </xdr:sp>
    <xdr:clientData/>
  </xdr:twoCellAnchor>
  <xdr:twoCellAnchor>
    <xdr:from>
      <xdr:col>10</xdr:col>
      <xdr:colOff>430075</xdr:colOff>
      <xdr:row>13</xdr:row>
      <xdr:rowOff>139976</xdr:rowOff>
    </xdr:from>
    <xdr:to>
      <xdr:col>11</xdr:col>
      <xdr:colOff>430308</xdr:colOff>
      <xdr:row>17</xdr:row>
      <xdr:rowOff>47625</xdr:rowOff>
    </xdr:to>
    <xdr:sp macro="" textlink="">
      <xdr:nvSpPr>
        <xdr:cNvPr id="124" name="Rectángulo 123">
          <a:extLst>
            <a:ext uri="{FF2B5EF4-FFF2-40B4-BE49-F238E27FC236}">
              <a16:creationId xmlns:a16="http://schemas.microsoft.com/office/drawing/2014/main" id="{A11CA5F5-80B9-47DA-A283-EE56A22E73F6}"/>
            </a:ext>
          </a:extLst>
        </xdr:cNvPr>
        <xdr:cNvSpPr/>
      </xdr:nvSpPr>
      <xdr:spPr>
        <a:xfrm>
          <a:off x="9374050" y="3121301"/>
          <a:ext cx="838433" cy="6315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P() 40%</a:t>
          </a:r>
        </a:p>
      </xdr:txBody>
    </xdr:sp>
    <xdr:clientData/>
  </xdr:twoCellAnchor>
  <xdr:twoCellAnchor>
    <xdr:from>
      <xdr:col>10</xdr:col>
      <xdr:colOff>420550</xdr:colOff>
      <xdr:row>20</xdr:row>
      <xdr:rowOff>159026</xdr:rowOff>
    </xdr:from>
    <xdr:to>
      <xdr:col>11</xdr:col>
      <xdr:colOff>420783</xdr:colOff>
      <xdr:row>24</xdr:row>
      <xdr:rowOff>28575</xdr:rowOff>
    </xdr:to>
    <xdr:sp macro="" textlink="">
      <xdr:nvSpPr>
        <xdr:cNvPr id="125" name="Rectángulo 124">
          <a:extLst>
            <a:ext uri="{FF2B5EF4-FFF2-40B4-BE49-F238E27FC236}">
              <a16:creationId xmlns:a16="http://schemas.microsoft.com/office/drawing/2014/main" id="{E7B47B5F-D54E-4D11-917B-367C17C7E118}"/>
            </a:ext>
          </a:extLst>
        </xdr:cNvPr>
        <xdr:cNvSpPr/>
      </xdr:nvSpPr>
      <xdr:spPr>
        <a:xfrm>
          <a:off x="9364525" y="4435751"/>
          <a:ext cx="838433" cy="6315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P() 40%</a:t>
          </a:r>
        </a:p>
      </xdr:txBody>
    </xdr:sp>
    <xdr:clientData/>
  </xdr:twoCellAnchor>
  <xdr:twoCellAnchor>
    <xdr:from>
      <xdr:col>10</xdr:col>
      <xdr:colOff>147919</xdr:colOff>
      <xdr:row>23</xdr:row>
      <xdr:rowOff>85165</xdr:rowOff>
    </xdr:from>
    <xdr:to>
      <xdr:col>11</xdr:col>
      <xdr:colOff>762000</xdr:colOff>
      <xdr:row>25</xdr:row>
      <xdr:rowOff>38101</xdr:rowOff>
    </xdr:to>
    <xdr:sp macro="" textlink="">
      <xdr:nvSpPr>
        <xdr:cNvPr id="126" name="Rectángulo 125">
          <a:extLst>
            <a:ext uri="{FF2B5EF4-FFF2-40B4-BE49-F238E27FC236}">
              <a16:creationId xmlns:a16="http://schemas.microsoft.com/office/drawing/2014/main" id="{077823E9-8B31-495A-8FD5-2700022126DA}"/>
            </a:ext>
          </a:extLst>
        </xdr:cNvPr>
        <xdr:cNvSpPr/>
      </xdr:nvSpPr>
      <xdr:spPr>
        <a:xfrm>
          <a:off x="9091894" y="4942915"/>
          <a:ext cx="1452281" cy="3148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2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abandona la cola</a:t>
          </a:r>
        </a:p>
      </xdr:txBody>
    </xdr:sp>
    <xdr:clientData/>
  </xdr:twoCellAnchor>
  <xdr:twoCellAnchor>
    <xdr:from>
      <xdr:col>11</xdr:col>
      <xdr:colOff>498984</xdr:colOff>
      <xdr:row>32</xdr:row>
      <xdr:rowOff>34818</xdr:rowOff>
    </xdr:from>
    <xdr:to>
      <xdr:col>13</xdr:col>
      <xdr:colOff>474890</xdr:colOff>
      <xdr:row>35</xdr:row>
      <xdr:rowOff>47872</xdr:rowOff>
    </xdr:to>
    <xdr:sp macro="" textlink="">
      <xdr:nvSpPr>
        <xdr:cNvPr id="127" name="Rectángulo 126">
          <a:extLst>
            <a:ext uri="{FF2B5EF4-FFF2-40B4-BE49-F238E27FC236}">
              <a16:creationId xmlns:a16="http://schemas.microsoft.com/office/drawing/2014/main" id="{72935CC0-15C2-4288-BE03-893E4B33EE69}"/>
            </a:ext>
          </a:extLst>
        </xdr:cNvPr>
        <xdr:cNvSpPr/>
      </xdr:nvSpPr>
      <xdr:spPr>
        <a:xfrm>
          <a:off x="10336948" y="6117211"/>
          <a:ext cx="1663192" cy="5845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cada</a:t>
          </a:r>
          <a:r>
            <a:rPr lang="es-AR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3 pacientes =&gt; estirilización: 15'</a:t>
          </a:r>
          <a:endParaRPr lang="es-AR" sz="16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226198</xdr:colOff>
      <xdr:row>31</xdr:row>
      <xdr:rowOff>179133</xdr:rowOff>
    </xdr:from>
    <xdr:to>
      <xdr:col>7</xdr:col>
      <xdr:colOff>619925</xdr:colOff>
      <xdr:row>37</xdr:row>
      <xdr:rowOff>142714</xdr:rowOff>
    </xdr:to>
    <xdr:sp macro="" textlink="">
      <xdr:nvSpPr>
        <xdr:cNvPr id="128" name="Flecha: hacia arriba 127">
          <a:extLst>
            <a:ext uri="{FF2B5EF4-FFF2-40B4-BE49-F238E27FC236}">
              <a16:creationId xmlns:a16="http://schemas.microsoft.com/office/drawing/2014/main" id="{EE8ECBB9-D7D6-4C94-BAB2-025E9F72FC58}"/>
            </a:ext>
          </a:extLst>
        </xdr:cNvPr>
        <xdr:cNvSpPr/>
      </xdr:nvSpPr>
      <xdr:spPr>
        <a:xfrm>
          <a:off x="5255398" y="6494208"/>
          <a:ext cx="1231927" cy="1125631"/>
        </a:xfrm>
        <a:prstGeom prst="upArrow">
          <a:avLst>
            <a:gd name="adj1" fmla="val 86601"/>
            <a:gd name="adj2" fmla="val 500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 b="1"/>
            <a:t>OBJETO</a:t>
          </a:r>
        </a:p>
        <a:p>
          <a:pPr algn="ctr"/>
          <a:r>
            <a:rPr lang="es-AR" sz="1100" b="1"/>
            <a:t>PERMANENTE</a:t>
          </a:r>
        </a:p>
      </xdr:txBody>
    </xdr:sp>
    <xdr:clientData/>
  </xdr:twoCellAnchor>
  <xdr:oneCellAnchor>
    <xdr:from>
      <xdr:col>20</xdr:col>
      <xdr:colOff>73879</xdr:colOff>
      <xdr:row>46</xdr:row>
      <xdr:rowOff>5442</xdr:rowOff>
    </xdr:from>
    <xdr:ext cx="152618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CuadroTexto 130">
              <a:extLst>
                <a:ext uri="{FF2B5EF4-FFF2-40B4-BE49-F238E27FC236}">
                  <a16:creationId xmlns:a16="http://schemas.microsoft.com/office/drawing/2014/main" id="{7D4AD13D-EFB8-4E49-A1B6-A85F301099D1}"/>
                </a:ext>
              </a:extLst>
            </xdr:cNvPr>
            <xdr:cNvSpPr txBox="1"/>
          </xdr:nvSpPr>
          <xdr:spPr>
            <a:xfrm>
              <a:off x="17790379" y="7950413"/>
              <a:ext cx="152618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AR" sz="1400" b="1"/>
                      <m:t>𝑋</m:t>
                    </m:r>
                    <m:r>
                      <m:rPr>
                        <m:nor/>
                      </m:rPr>
                      <a:rPr lang="es-AR" sz="1400" b="1"/>
                      <m:t> = −µ. </m:t>
                    </m:r>
                    <m:r>
                      <m:rPr>
                        <m:nor/>
                      </m:rPr>
                      <a:rPr lang="es-AR" sz="1400" b="1"/>
                      <m:t>ln</m:t>
                    </m:r>
                    <m:r>
                      <m:rPr>
                        <m:nor/>
                      </m:rPr>
                      <a:rPr lang="es-AR" sz="1400" b="1"/>
                      <m:t> (1 − </m:t>
                    </m:r>
                    <m:r>
                      <m:rPr>
                        <m:nor/>
                      </m:rPr>
                      <a:rPr lang="es-AR" sz="1400" b="1"/>
                      <m:t>𝑅𝑁𝐷</m:t>
                    </m:r>
                    <m:r>
                      <m:rPr>
                        <m:nor/>
                      </m:rPr>
                      <a:rPr lang="es-AR" sz="1400" b="1"/>
                      <m:t>)</m:t>
                    </m:r>
                  </m:oMath>
                </m:oMathPara>
              </a14:m>
              <a:endParaRPr lang="es-AR" sz="1400" b="1"/>
            </a:p>
          </xdr:txBody>
        </xdr:sp>
      </mc:Choice>
      <mc:Fallback xmlns="">
        <xdr:sp macro="" textlink="">
          <xdr:nvSpPr>
            <xdr:cNvPr id="131" name="CuadroTexto 130">
              <a:extLst>
                <a:ext uri="{FF2B5EF4-FFF2-40B4-BE49-F238E27FC236}">
                  <a16:creationId xmlns:a16="http://schemas.microsoft.com/office/drawing/2014/main" id="{7D4AD13D-EFB8-4E49-A1B6-A85F301099D1}"/>
                </a:ext>
              </a:extLst>
            </xdr:cNvPr>
            <xdr:cNvSpPr txBox="1"/>
          </xdr:nvSpPr>
          <xdr:spPr>
            <a:xfrm>
              <a:off x="17790379" y="7950413"/>
              <a:ext cx="152618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AR" sz="1400" b="1" i="0">
                  <a:latin typeface="Cambria Math" panose="02040503050406030204" pitchFamily="18" charset="0"/>
                </a:rPr>
                <a:t>"𝑋 = −µ. ln (1 − 𝑅𝑁𝐷)</a:t>
              </a:r>
              <a:r>
                <a:rPr lang="es-AR" sz="1400" b="1" i="0"/>
                <a:t>"</a:t>
              </a:r>
              <a:endParaRPr lang="es-AR" sz="1400" b="1"/>
            </a:p>
          </xdr:txBody>
        </xdr:sp>
      </mc:Fallback>
    </mc:AlternateContent>
    <xdr:clientData/>
  </xdr:oneCellAnchor>
  <xdr:oneCellAnchor>
    <xdr:from>
      <xdr:col>20</xdr:col>
      <xdr:colOff>73879</xdr:colOff>
      <xdr:row>48</xdr:row>
      <xdr:rowOff>5442</xdr:rowOff>
    </xdr:from>
    <xdr:ext cx="1606978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CuadroTexto 131">
              <a:extLst>
                <a:ext uri="{FF2B5EF4-FFF2-40B4-BE49-F238E27FC236}">
                  <a16:creationId xmlns:a16="http://schemas.microsoft.com/office/drawing/2014/main" id="{6BDEF96D-04BB-4AEB-BB8E-0665CFD01B3A}"/>
                </a:ext>
              </a:extLst>
            </xdr:cNvPr>
            <xdr:cNvSpPr txBox="1"/>
          </xdr:nvSpPr>
          <xdr:spPr>
            <a:xfrm>
              <a:off x="17790379" y="8320207"/>
              <a:ext cx="160697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𝑋</m:t>
                    </m:r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 = −30. </m:t>
                    </m:r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ln</m:t>
                    </m:r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 (1 − </m:t>
                    </m:r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𝑅𝑁𝐷</m:t>
                    </m:r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)</m:t>
                    </m:r>
                  </m:oMath>
                </m:oMathPara>
              </a14:m>
              <a:endParaRPr lang="es-AR" sz="1400" b="1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32" name="CuadroTexto 131">
              <a:extLst>
                <a:ext uri="{FF2B5EF4-FFF2-40B4-BE49-F238E27FC236}">
                  <a16:creationId xmlns:a16="http://schemas.microsoft.com/office/drawing/2014/main" id="{6BDEF96D-04BB-4AEB-BB8E-0665CFD01B3A}"/>
                </a:ext>
              </a:extLst>
            </xdr:cNvPr>
            <xdr:cNvSpPr txBox="1"/>
          </xdr:nvSpPr>
          <xdr:spPr>
            <a:xfrm>
              <a:off x="17790379" y="8320207"/>
              <a:ext cx="160697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AR" sz="14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"𝑋 = −30. ln (1 − 𝑅𝑁𝐷)</a:t>
              </a:r>
              <a:r>
                <a:rPr lang="es-AR" sz="1400" b="1" i="0">
                  <a:solidFill>
                    <a:srgbClr val="FF0000"/>
                  </a:solidFill>
                </a:rPr>
                <a:t>"</a:t>
              </a:r>
              <a:endParaRPr lang="es-AR" sz="1400" b="1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46663</xdr:colOff>
      <xdr:row>24</xdr:row>
      <xdr:rowOff>5443</xdr:rowOff>
    </xdr:from>
    <xdr:ext cx="149085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764C37F6-9C99-4C24-8C5F-EA9E0D7D9E0F}"/>
                </a:ext>
              </a:extLst>
            </xdr:cNvPr>
            <xdr:cNvSpPr txBox="1"/>
          </xdr:nvSpPr>
          <xdr:spPr>
            <a:xfrm>
              <a:off x="9133513" y="6149068"/>
              <a:ext cx="149085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𝑋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= 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𝐴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+ 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𝑅𝑁𝐷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(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𝐵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− 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𝐴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s-AR" sz="1400" b="1" i="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764C37F6-9C99-4C24-8C5F-EA9E0D7D9E0F}"/>
                </a:ext>
              </a:extLst>
            </xdr:cNvPr>
            <xdr:cNvSpPr txBox="1"/>
          </xdr:nvSpPr>
          <xdr:spPr>
            <a:xfrm>
              <a:off x="9133513" y="6149068"/>
              <a:ext cx="149085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AR" sz="1400" b="1" i="0" u="none" strike="noStrike" baseline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"𝑋 = 𝐴 + 𝑅𝑁𝐷(𝐵 − 𝐴)</a:t>
              </a:r>
              <a:r>
                <a:rPr lang="es-AR" sz="1400" b="1" i="0" u="none" strike="noStrike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</a:t>
              </a:r>
              <a:endParaRPr lang="es-AR" sz="1400" b="1" i="0"/>
            </a:p>
          </xdr:txBody>
        </xdr:sp>
      </mc:Fallback>
    </mc:AlternateContent>
    <xdr:clientData/>
  </xdr:oneCellAnchor>
  <xdr:oneCellAnchor>
    <xdr:from>
      <xdr:col>8</xdr:col>
      <xdr:colOff>73879</xdr:colOff>
      <xdr:row>13</xdr:row>
      <xdr:rowOff>5442</xdr:rowOff>
    </xdr:from>
    <xdr:ext cx="152618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ADE3A0D8-FB1F-4926-B8AF-E436BA20C93D}"/>
                </a:ext>
              </a:extLst>
            </xdr:cNvPr>
            <xdr:cNvSpPr txBox="1"/>
          </xdr:nvSpPr>
          <xdr:spPr>
            <a:xfrm>
              <a:off x="9160729" y="4082142"/>
              <a:ext cx="152618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AR" sz="1400" b="1"/>
                      <m:t>𝑋</m:t>
                    </m:r>
                    <m:r>
                      <m:rPr>
                        <m:nor/>
                      </m:rPr>
                      <a:rPr lang="es-AR" sz="1400" b="1"/>
                      <m:t> = −µ. </m:t>
                    </m:r>
                    <m:r>
                      <m:rPr>
                        <m:nor/>
                      </m:rPr>
                      <a:rPr lang="es-AR" sz="1400" b="1"/>
                      <m:t>ln</m:t>
                    </m:r>
                    <m:r>
                      <m:rPr>
                        <m:nor/>
                      </m:rPr>
                      <a:rPr lang="es-AR" sz="1400" b="1"/>
                      <m:t> (1 − </m:t>
                    </m:r>
                    <m:r>
                      <m:rPr>
                        <m:nor/>
                      </m:rPr>
                      <a:rPr lang="es-AR" sz="1400" b="1"/>
                      <m:t>𝑅𝑁𝐷</m:t>
                    </m:r>
                    <m:r>
                      <m:rPr>
                        <m:nor/>
                      </m:rPr>
                      <a:rPr lang="es-AR" sz="1400" b="1"/>
                      <m:t>)</m:t>
                    </m:r>
                  </m:oMath>
                </m:oMathPara>
              </a14:m>
              <a:endParaRPr lang="es-AR" sz="1400" b="1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ADE3A0D8-FB1F-4926-B8AF-E436BA20C93D}"/>
                </a:ext>
              </a:extLst>
            </xdr:cNvPr>
            <xdr:cNvSpPr txBox="1"/>
          </xdr:nvSpPr>
          <xdr:spPr>
            <a:xfrm>
              <a:off x="9160729" y="4082142"/>
              <a:ext cx="152618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AR" sz="1400" b="1" i="0">
                  <a:latin typeface="Cambria Math" panose="02040503050406030204" pitchFamily="18" charset="0"/>
                </a:rPr>
                <a:t>"𝑋 = −µ. ln (1 − 𝑅𝑁𝐷)</a:t>
              </a:r>
              <a:r>
                <a:rPr lang="es-AR" sz="1400" b="1" i="0"/>
                <a:t>"</a:t>
              </a:r>
              <a:endParaRPr lang="es-AR" sz="1400" b="1"/>
            </a:p>
          </xdr:txBody>
        </xdr:sp>
      </mc:Fallback>
    </mc:AlternateContent>
    <xdr:clientData/>
  </xdr:oneCellAnchor>
  <xdr:oneCellAnchor>
    <xdr:from>
      <xdr:col>8</xdr:col>
      <xdr:colOff>49384</xdr:colOff>
      <xdr:row>25</xdr:row>
      <xdr:rowOff>157843</xdr:rowOff>
    </xdr:from>
    <xdr:ext cx="169148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B554012A-F5D3-41A5-BB38-0CB882ABF97A}"/>
                </a:ext>
              </a:extLst>
            </xdr:cNvPr>
            <xdr:cNvSpPr txBox="1"/>
          </xdr:nvSpPr>
          <xdr:spPr>
            <a:xfrm>
              <a:off x="9136234" y="6491968"/>
              <a:ext cx="16914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rPr>
                      <m:t>𝑋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rPr>
                      <m:t> = 40 + 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rPr>
                      <m:t>𝑅𝑁𝐷</m:t>
                    </m:r>
                    <m:r>
                      <m:rPr>
                        <m:nor/>
                      </m:rPr>
                      <a:rPr lang="es-AR" sz="1400" b="1" i="0" u="none" strike="noStrike" baseline="0" smtClean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rPr>
                      <m:t>(60 − 40)</m:t>
                    </m:r>
                  </m:oMath>
                </m:oMathPara>
              </a14:m>
              <a:endParaRPr lang="es-AR" sz="14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B554012A-F5D3-41A5-BB38-0CB882ABF97A}"/>
                </a:ext>
              </a:extLst>
            </xdr:cNvPr>
            <xdr:cNvSpPr txBox="1"/>
          </xdr:nvSpPr>
          <xdr:spPr>
            <a:xfrm>
              <a:off x="9136234" y="6491968"/>
              <a:ext cx="169148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AR" sz="1400" b="1" i="0" u="none" strike="noStrike" baseline="0">
                  <a:solidFill>
                    <a:srgbClr val="FF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"𝑋 = 40 + 𝑅𝑁𝐷(60 − 40)</a:t>
              </a:r>
              <a:r>
                <a:rPr lang="es-AR" sz="1400" b="1" i="0" u="none" strike="noStrike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rPr>
                <a:t>"</a:t>
              </a:r>
              <a:endParaRPr lang="es-AR" sz="14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8</xdr:col>
      <xdr:colOff>73879</xdr:colOff>
      <xdr:row>15</xdr:row>
      <xdr:rowOff>5442</xdr:rowOff>
    </xdr:from>
    <xdr:ext cx="1606978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07F1268E-E4AC-43F3-AC7C-18AB452FFF5A}"/>
                </a:ext>
              </a:extLst>
            </xdr:cNvPr>
            <xdr:cNvSpPr txBox="1"/>
          </xdr:nvSpPr>
          <xdr:spPr>
            <a:xfrm>
              <a:off x="9160729" y="4501242"/>
              <a:ext cx="160697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𝑋</m:t>
                    </m:r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 = −30. </m:t>
                    </m:r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ln</m:t>
                    </m:r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 (1 − </m:t>
                    </m:r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𝑅𝑁𝐷</m:t>
                    </m:r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)</m:t>
                    </m:r>
                  </m:oMath>
                </m:oMathPara>
              </a14:m>
              <a:endParaRPr lang="es-AR" sz="1400" b="1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07F1268E-E4AC-43F3-AC7C-18AB452FFF5A}"/>
                </a:ext>
              </a:extLst>
            </xdr:cNvPr>
            <xdr:cNvSpPr txBox="1"/>
          </xdr:nvSpPr>
          <xdr:spPr>
            <a:xfrm>
              <a:off x="9160729" y="4501242"/>
              <a:ext cx="160697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AR" sz="14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"𝑋 = −30. ln (1 − 𝑅𝑁𝐷)</a:t>
              </a:r>
              <a:r>
                <a:rPr lang="es-AR" sz="1400" b="1" i="0">
                  <a:solidFill>
                    <a:srgbClr val="FF0000"/>
                  </a:solidFill>
                </a:rPr>
                <a:t>"</a:t>
              </a:r>
              <a:endParaRPr lang="es-AR" sz="1400" b="1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8</xdr:col>
      <xdr:colOff>73879</xdr:colOff>
      <xdr:row>17</xdr:row>
      <xdr:rowOff>5442</xdr:rowOff>
    </xdr:from>
    <xdr:ext cx="152618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04114223-23B3-454C-9317-A465E4E3743F}"/>
                </a:ext>
              </a:extLst>
            </xdr:cNvPr>
            <xdr:cNvSpPr txBox="1"/>
          </xdr:nvSpPr>
          <xdr:spPr>
            <a:xfrm>
              <a:off x="9160729" y="4863192"/>
              <a:ext cx="152618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AR" sz="1400" b="1"/>
                      <m:t>𝑋</m:t>
                    </m:r>
                    <m:r>
                      <m:rPr>
                        <m:nor/>
                      </m:rPr>
                      <a:rPr lang="es-AR" sz="1400" b="1"/>
                      <m:t> = −µ. </m:t>
                    </m:r>
                    <m:r>
                      <m:rPr>
                        <m:nor/>
                      </m:rPr>
                      <a:rPr lang="es-AR" sz="1400" b="1"/>
                      <m:t>ln</m:t>
                    </m:r>
                    <m:r>
                      <m:rPr>
                        <m:nor/>
                      </m:rPr>
                      <a:rPr lang="es-AR" sz="1400" b="1"/>
                      <m:t> (1 − </m:t>
                    </m:r>
                    <m:r>
                      <m:rPr>
                        <m:nor/>
                      </m:rPr>
                      <a:rPr lang="es-AR" sz="1400" b="1"/>
                      <m:t>𝑅𝑁𝐷</m:t>
                    </m:r>
                    <m:r>
                      <m:rPr>
                        <m:nor/>
                      </m:rPr>
                      <a:rPr lang="es-AR" sz="1400" b="1"/>
                      <m:t>)</m:t>
                    </m:r>
                  </m:oMath>
                </m:oMathPara>
              </a14:m>
              <a:endParaRPr lang="es-AR" sz="1400" b="1"/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04114223-23B3-454C-9317-A465E4E3743F}"/>
                </a:ext>
              </a:extLst>
            </xdr:cNvPr>
            <xdr:cNvSpPr txBox="1"/>
          </xdr:nvSpPr>
          <xdr:spPr>
            <a:xfrm>
              <a:off x="9160729" y="4863192"/>
              <a:ext cx="152618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AR" sz="1400" b="1" i="0">
                  <a:latin typeface="Cambria Math" panose="02040503050406030204" pitchFamily="18" charset="0"/>
                </a:rPr>
                <a:t>"𝑋 = −µ. ln (1 − 𝑅𝑁𝐷)</a:t>
              </a:r>
              <a:r>
                <a:rPr lang="es-AR" sz="1400" b="1" i="0"/>
                <a:t>"</a:t>
              </a:r>
              <a:endParaRPr lang="es-AR" sz="1400" b="1"/>
            </a:p>
          </xdr:txBody>
        </xdr:sp>
      </mc:Fallback>
    </mc:AlternateContent>
    <xdr:clientData/>
  </xdr:oneCellAnchor>
  <xdr:oneCellAnchor>
    <xdr:from>
      <xdr:col>8</xdr:col>
      <xdr:colOff>73879</xdr:colOff>
      <xdr:row>19</xdr:row>
      <xdr:rowOff>5442</xdr:rowOff>
    </xdr:from>
    <xdr:ext cx="1606978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3928D71D-A709-4353-A9F9-BF7AB82EA76F}"/>
                </a:ext>
              </a:extLst>
            </xdr:cNvPr>
            <xdr:cNvSpPr txBox="1"/>
          </xdr:nvSpPr>
          <xdr:spPr>
            <a:xfrm>
              <a:off x="9160729" y="5234667"/>
              <a:ext cx="160697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𝑋</m:t>
                    </m:r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 = −30. </m:t>
                    </m:r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ln</m:t>
                    </m:r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 (1 − </m:t>
                    </m:r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𝑅𝑁𝐷</m:t>
                    </m:r>
                    <m:r>
                      <m:rPr>
                        <m:nor/>
                      </m:rPr>
                      <a:rPr lang="es-AR" sz="1400" b="1">
                        <a:solidFill>
                          <a:srgbClr val="FF0000"/>
                        </a:solidFill>
                      </a:rPr>
                      <m:t>)</m:t>
                    </m:r>
                  </m:oMath>
                </m:oMathPara>
              </a14:m>
              <a:endParaRPr lang="es-AR" sz="1400" b="1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3928D71D-A709-4353-A9F9-BF7AB82EA76F}"/>
                </a:ext>
              </a:extLst>
            </xdr:cNvPr>
            <xdr:cNvSpPr txBox="1"/>
          </xdr:nvSpPr>
          <xdr:spPr>
            <a:xfrm>
              <a:off x="9160729" y="5234667"/>
              <a:ext cx="160697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AR" sz="14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"𝑋 = −30. ln (1 − 𝑅𝑁𝐷)</a:t>
              </a:r>
              <a:r>
                <a:rPr lang="es-AR" sz="1400" b="1" i="0">
                  <a:solidFill>
                    <a:srgbClr val="FF0000"/>
                  </a:solidFill>
                </a:rPr>
                <a:t>"</a:t>
              </a:r>
              <a:endParaRPr lang="es-AR" sz="1400" b="1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DCCA-FB82-45A3-9B8F-CF9B581B7BF9}">
  <dimension ref="A29:D38"/>
  <sheetViews>
    <sheetView tabSelected="1" zoomScale="70" zoomScaleNormal="70" workbookViewId="0">
      <selection activeCell="D38" sqref="A1:D38"/>
    </sheetView>
  </sheetViews>
  <sheetFormatPr baseColWidth="10" defaultRowHeight="14.25"/>
  <cols>
    <col min="1" max="1" width="16.625" customWidth="1"/>
    <col min="2" max="2" width="22.25" customWidth="1"/>
    <col min="3" max="3" width="13.25" customWidth="1"/>
    <col min="4" max="4" width="27.375" customWidth="1"/>
    <col min="10" max="10" width="13.125" customWidth="1"/>
    <col min="11" max="11" width="13" bestFit="1" customWidth="1"/>
    <col min="12" max="12" width="11.875" customWidth="1"/>
    <col min="13" max="13" width="12.25" customWidth="1"/>
  </cols>
  <sheetData>
    <row r="29" spans="1:4" ht="26.25" customHeight="1"/>
    <row r="30" spans="1:4" ht="16.5" thickBot="1">
      <c r="A30" s="61" t="s">
        <v>165</v>
      </c>
      <c r="B30" s="129"/>
      <c r="C30" s="129"/>
      <c r="D30" s="129"/>
    </row>
    <row r="31" spans="1:4" ht="15.75" thickBot="1">
      <c r="A31" s="130" t="s">
        <v>141</v>
      </c>
      <c r="B31" s="130" t="s">
        <v>142</v>
      </c>
      <c r="C31" s="131">
        <v>26413</v>
      </c>
      <c r="D31" s="130" t="s">
        <v>143</v>
      </c>
    </row>
    <row r="32" spans="1:4" ht="15.75" thickBot="1">
      <c r="A32" s="130" t="s">
        <v>144</v>
      </c>
      <c r="B32" s="130" t="s">
        <v>145</v>
      </c>
      <c r="C32" s="131">
        <v>23396</v>
      </c>
      <c r="D32" s="130" t="s">
        <v>146</v>
      </c>
    </row>
    <row r="33" spans="1:4" ht="15.75" thickBot="1">
      <c r="A33" s="130" t="s">
        <v>147</v>
      </c>
      <c r="B33" s="130" t="s">
        <v>148</v>
      </c>
      <c r="C33" s="131">
        <v>90172</v>
      </c>
      <c r="D33" s="130" t="s">
        <v>149</v>
      </c>
    </row>
    <row r="34" spans="1:4" ht="15.75" thickBot="1">
      <c r="A34" s="130" t="s">
        <v>150</v>
      </c>
      <c r="B34" s="130" t="s">
        <v>151</v>
      </c>
      <c r="C34" s="131">
        <v>91194</v>
      </c>
      <c r="D34" s="130" t="s">
        <v>152</v>
      </c>
    </row>
    <row r="35" spans="1:4" ht="15.75" thickBot="1">
      <c r="A35" s="130" t="s">
        <v>153</v>
      </c>
      <c r="B35" s="130" t="s">
        <v>154</v>
      </c>
      <c r="C35" s="131">
        <v>95738</v>
      </c>
      <c r="D35" s="130" t="s">
        <v>155</v>
      </c>
    </row>
    <row r="36" spans="1:4" ht="15.75" thickBot="1">
      <c r="A36" s="130" t="s">
        <v>156</v>
      </c>
      <c r="B36" s="130" t="s">
        <v>157</v>
      </c>
      <c r="C36" s="131">
        <v>95096</v>
      </c>
      <c r="D36" s="130" t="s">
        <v>158</v>
      </c>
    </row>
    <row r="37" spans="1:4" ht="15.75" thickBot="1">
      <c r="A37" s="130" t="s">
        <v>159</v>
      </c>
      <c r="B37" s="130" t="s">
        <v>160</v>
      </c>
      <c r="C37" s="131">
        <v>96237</v>
      </c>
      <c r="D37" s="130" t="s">
        <v>161</v>
      </c>
    </row>
    <row r="38" spans="1:4" ht="15.75" thickBot="1">
      <c r="A38" s="130" t="s">
        <v>162</v>
      </c>
      <c r="B38" s="130" t="s">
        <v>163</v>
      </c>
      <c r="C38" s="131">
        <v>94189</v>
      </c>
      <c r="D38" s="130" t="s">
        <v>164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90DFF-618A-4A0A-9753-9A8E6F2501EE}">
  <sheetPr>
    <pageSetUpPr fitToPage="1"/>
  </sheetPr>
  <dimension ref="B5:Y68"/>
  <sheetViews>
    <sheetView zoomScale="70" zoomScaleNormal="70" workbookViewId="0">
      <selection activeCell="E34" sqref="E34"/>
    </sheetView>
  </sheetViews>
  <sheetFormatPr baseColWidth="10" defaultRowHeight="14.25"/>
  <cols>
    <col min="9" max="9" width="11" customWidth="1"/>
    <col min="10" max="10" width="12.625" customWidth="1"/>
    <col min="11" max="11" width="11" customWidth="1"/>
    <col min="15" max="15" width="8.625" customWidth="1"/>
    <col min="16" max="16" width="12.875" bestFit="1" customWidth="1"/>
    <col min="17" max="17" width="14.375" customWidth="1"/>
    <col min="20" max="20" width="18.375" customWidth="1"/>
  </cols>
  <sheetData>
    <row r="5" spans="2:24" ht="14.25" customHeight="1">
      <c r="F5" s="11"/>
    </row>
    <row r="6" spans="2:24" ht="15.75">
      <c r="B6" s="9" t="s">
        <v>47</v>
      </c>
      <c r="R6" s="45" t="s">
        <v>58</v>
      </c>
    </row>
    <row r="7" spans="2:24" ht="15.75">
      <c r="R7" s="45"/>
    </row>
    <row r="8" spans="2:24" ht="15.75">
      <c r="R8" s="45" t="s">
        <v>59</v>
      </c>
    </row>
    <row r="9" spans="2:24" ht="15.75">
      <c r="M9" s="42" t="s">
        <v>53</v>
      </c>
      <c r="N9" s="55"/>
      <c r="R9" s="45"/>
    </row>
    <row r="10" spans="2:24" ht="15.75">
      <c r="M10" s="43" t="s">
        <v>49</v>
      </c>
      <c r="N10" s="43"/>
      <c r="R10" s="45" t="s">
        <v>60</v>
      </c>
    </row>
    <row r="13" spans="2:24">
      <c r="O13" s="12"/>
    </row>
    <row r="14" spans="2:24">
      <c r="O14" s="12"/>
    </row>
    <row r="15" spans="2:24">
      <c r="O15" s="12"/>
    </row>
    <row r="16" spans="2:24" ht="15.75">
      <c r="O16" s="12"/>
      <c r="R16" s="45" t="s">
        <v>51</v>
      </c>
      <c r="T16" s="12"/>
      <c r="U16" s="12"/>
      <c r="V16" s="12"/>
      <c r="W16" s="12"/>
      <c r="X16" s="12"/>
    </row>
    <row r="17" spans="3:25" ht="15.75">
      <c r="O17" s="12"/>
      <c r="R17" s="45" t="s">
        <v>10</v>
      </c>
      <c r="T17" s="12"/>
      <c r="U17" s="12"/>
      <c r="V17" s="12"/>
      <c r="W17" s="12"/>
      <c r="X17" s="12"/>
    </row>
    <row r="18" spans="3:25" ht="15.75">
      <c r="G18" s="150" t="s">
        <v>52</v>
      </c>
      <c r="H18" s="150"/>
      <c r="O18" s="12"/>
      <c r="S18" s="12"/>
      <c r="T18" s="12"/>
      <c r="U18" s="12"/>
      <c r="V18" s="12"/>
      <c r="W18" s="12"/>
      <c r="X18" s="12"/>
    </row>
    <row r="19" spans="3:25">
      <c r="G19" s="151" t="s">
        <v>50</v>
      </c>
      <c r="H19" s="151"/>
    </row>
    <row r="21" spans="3:25" ht="15" customHeight="1"/>
    <row r="22" spans="3:25" ht="16.5" customHeight="1"/>
    <row r="23" spans="3:25" ht="15.75">
      <c r="C23" s="150" t="s">
        <v>48</v>
      </c>
      <c r="D23" s="150"/>
      <c r="R23" s="60" t="s">
        <v>61</v>
      </c>
      <c r="S23" s="62"/>
      <c r="T23" s="57"/>
      <c r="U23" s="47" t="s">
        <v>49</v>
      </c>
      <c r="V23" s="46"/>
      <c r="W23" s="48"/>
      <c r="X23" s="49"/>
      <c r="Y23" s="49"/>
    </row>
    <row r="24" spans="3:25" ht="15.75">
      <c r="C24" s="151" t="s">
        <v>49</v>
      </c>
      <c r="D24" s="151"/>
      <c r="R24" s="50"/>
      <c r="S24" s="46"/>
      <c r="U24" s="47"/>
      <c r="V24" s="46"/>
      <c r="W24" s="48"/>
      <c r="X24" s="49"/>
      <c r="Y24" s="49"/>
    </row>
    <row r="25" spans="3:25" ht="15.75">
      <c r="R25" s="60" t="s">
        <v>62</v>
      </c>
      <c r="S25" s="62"/>
      <c r="T25" s="57"/>
      <c r="U25" s="47" t="s">
        <v>63</v>
      </c>
      <c r="V25" s="46"/>
      <c r="W25" s="48"/>
      <c r="X25" s="49"/>
      <c r="Y25" s="49"/>
    </row>
    <row r="26" spans="3:25" ht="18">
      <c r="R26" s="50"/>
      <c r="S26" s="51"/>
      <c r="T26" s="47"/>
      <c r="U26" s="46"/>
      <c r="V26" s="46"/>
      <c r="W26" s="48"/>
      <c r="X26" s="49"/>
      <c r="Y26" s="49"/>
    </row>
    <row r="27" spans="3:25" ht="15.75">
      <c r="I27" s="44"/>
      <c r="J27" s="44"/>
      <c r="R27" s="60" t="s">
        <v>137</v>
      </c>
      <c r="S27" s="57"/>
      <c r="T27" s="57"/>
      <c r="U27" s="47" t="s">
        <v>138</v>
      </c>
    </row>
    <row r="28" spans="3:25" ht="14.25" customHeight="1">
      <c r="M28" s="56" t="s">
        <v>54</v>
      </c>
      <c r="N28" s="56"/>
    </row>
    <row r="29" spans="3:25" ht="14.25" customHeight="1">
      <c r="M29" s="1" t="s">
        <v>55</v>
      </c>
      <c r="N29" s="1"/>
      <c r="R29" s="60" t="s">
        <v>139</v>
      </c>
      <c r="S29" s="57"/>
      <c r="T29" s="57"/>
      <c r="U29" s="47" t="s">
        <v>138</v>
      </c>
    </row>
    <row r="31" spans="3:25" ht="15.75">
      <c r="R31" s="60" t="s">
        <v>67</v>
      </c>
      <c r="S31" s="62"/>
      <c r="T31" s="57"/>
      <c r="U31" s="47" t="s">
        <v>49</v>
      </c>
      <c r="V31" s="46"/>
      <c r="W31" s="48"/>
      <c r="X31" s="49"/>
      <c r="Y31" s="49"/>
    </row>
    <row r="32" spans="3:25" ht="18">
      <c r="S32" s="50"/>
      <c r="U32" s="51"/>
      <c r="V32" s="46"/>
      <c r="W32" s="46"/>
      <c r="X32" s="49"/>
      <c r="Y32" s="49"/>
    </row>
    <row r="33" spans="2:25" ht="15.75">
      <c r="R33" s="60" t="s">
        <v>68</v>
      </c>
      <c r="S33" s="62"/>
      <c r="T33" s="57"/>
      <c r="U33" s="47" t="s">
        <v>69</v>
      </c>
      <c r="V33" s="46"/>
      <c r="W33" s="46"/>
      <c r="X33" s="49"/>
      <c r="Y33" s="49"/>
    </row>
    <row r="34" spans="2:25" ht="15">
      <c r="S34" s="46"/>
      <c r="U34" s="46"/>
      <c r="V34" s="46"/>
      <c r="W34" s="46"/>
      <c r="X34" s="49"/>
      <c r="Y34" s="49"/>
    </row>
    <row r="35" spans="2:25" ht="15.75">
      <c r="R35" s="60" t="s">
        <v>85</v>
      </c>
      <c r="S35" s="62"/>
      <c r="T35" s="57"/>
      <c r="U35" s="47" t="s">
        <v>86</v>
      </c>
      <c r="V35" s="15"/>
      <c r="W35" s="15"/>
    </row>
    <row r="36" spans="2:25">
      <c r="O36" s="15"/>
    </row>
    <row r="37" spans="2:25">
      <c r="O37" s="15"/>
    </row>
    <row r="38" spans="2:25">
      <c r="O38" s="15"/>
      <c r="S38" s="15"/>
      <c r="T38" s="15"/>
      <c r="U38" s="15"/>
      <c r="V38" s="15"/>
      <c r="W38" s="15"/>
    </row>
    <row r="39" spans="2:25">
      <c r="O39" s="15"/>
      <c r="S39" s="15"/>
      <c r="T39" s="15"/>
      <c r="U39" s="15"/>
      <c r="V39" s="15"/>
      <c r="W39" s="15"/>
    </row>
    <row r="40" spans="2:25">
      <c r="O40" s="15"/>
      <c r="S40" s="15"/>
      <c r="T40" s="15"/>
      <c r="U40" s="15"/>
      <c r="V40" s="15"/>
      <c r="W40" s="15"/>
    </row>
    <row r="41" spans="2:25" ht="15.75">
      <c r="O41" s="15"/>
      <c r="R41" s="123" t="s">
        <v>82</v>
      </c>
      <c r="S41" s="124"/>
      <c r="T41" s="124"/>
      <c r="U41" s="12"/>
      <c r="V41" s="12"/>
      <c r="X41" s="12"/>
    </row>
    <row r="42" spans="2:25" ht="15">
      <c r="O42" s="15"/>
      <c r="R42" s="125"/>
      <c r="S42" s="125"/>
      <c r="T42" s="125"/>
      <c r="U42" s="12"/>
      <c r="V42" s="12"/>
      <c r="X42" s="12"/>
    </row>
    <row r="43" spans="2:25" ht="15.75">
      <c r="O43" s="15"/>
      <c r="R43" s="49"/>
      <c r="S43" s="123" t="s">
        <v>83</v>
      </c>
      <c r="T43" s="124"/>
      <c r="U43" s="12"/>
      <c r="V43" s="12"/>
      <c r="X43" s="12"/>
    </row>
    <row r="44" spans="2:25" ht="15">
      <c r="O44" s="15"/>
      <c r="R44" s="49"/>
      <c r="S44" s="125"/>
      <c r="T44" s="125"/>
      <c r="U44" s="12"/>
      <c r="V44" s="12"/>
      <c r="X44" s="12"/>
    </row>
    <row r="45" spans="2:25" ht="15">
      <c r="O45" s="15"/>
      <c r="R45" s="49"/>
      <c r="S45" s="125"/>
      <c r="T45" s="125"/>
      <c r="U45" s="12"/>
      <c r="V45" s="12"/>
      <c r="X45" s="12"/>
    </row>
    <row r="46" spans="2:25" ht="15.75">
      <c r="B46" s="45" t="s">
        <v>166</v>
      </c>
      <c r="O46" s="15"/>
      <c r="R46" s="49"/>
      <c r="S46" s="125"/>
      <c r="T46" s="125"/>
      <c r="U46" s="12"/>
      <c r="V46" s="12"/>
      <c r="W46" s="12"/>
      <c r="X46" s="12"/>
    </row>
    <row r="47" spans="2:25" ht="15.75">
      <c r="B47" s="52" t="s">
        <v>56</v>
      </c>
      <c r="O47" s="15"/>
      <c r="R47" s="49"/>
      <c r="S47" s="123" t="s">
        <v>84</v>
      </c>
      <c r="T47" s="124"/>
      <c r="U47" s="12"/>
      <c r="V47" s="12"/>
      <c r="X47" s="12"/>
    </row>
    <row r="48" spans="2:25" ht="15.75">
      <c r="B48" s="52" t="s">
        <v>57</v>
      </c>
      <c r="Q48" s="12"/>
      <c r="R48" s="49"/>
      <c r="S48" s="125"/>
      <c r="T48" s="125"/>
      <c r="U48" s="12"/>
      <c r="V48" s="12"/>
      <c r="X48" s="12"/>
    </row>
    <row r="49" spans="2:24" ht="15">
      <c r="R49" s="49"/>
      <c r="S49" s="125"/>
      <c r="T49" s="125"/>
      <c r="U49" s="12"/>
      <c r="V49" s="12"/>
      <c r="X49" s="12"/>
    </row>
    <row r="50" spans="2:24" ht="15">
      <c r="C50" s="12"/>
      <c r="D50" s="12"/>
      <c r="E50" s="12"/>
      <c r="F50" s="12"/>
      <c r="G50" s="12"/>
      <c r="H50" s="12"/>
      <c r="R50" s="49"/>
      <c r="S50" s="49"/>
      <c r="T50" s="49"/>
      <c r="X50" s="12"/>
    </row>
    <row r="51" spans="2:24" ht="15">
      <c r="C51" s="12"/>
      <c r="D51" s="12"/>
      <c r="E51" s="12"/>
      <c r="F51" s="12"/>
      <c r="G51" s="12"/>
      <c r="H51" s="12"/>
      <c r="R51" s="49"/>
      <c r="S51" s="49"/>
      <c r="T51" s="49"/>
      <c r="X51" s="12"/>
    </row>
    <row r="52" spans="2:24" ht="15.75">
      <c r="C52" s="12"/>
      <c r="D52" s="12"/>
      <c r="E52" s="12"/>
      <c r="F52" s="12"/>
      <c r="G52" s="12"/>
      <c r="H52" s="12"/>
      <c r="R52" s="60" t="s">
        <v>81</v>
      </c>
      <c r="S52" s="126"/>
      <c r="T52" s="126"/>
      <c r="U52" s="16"/>
      <c r="V52" s="16"/>
    </row>
    <row r="53" spans="2:24" ht="15">
      <c r="C53" s="12"/>
      <c r="D53" s="12"/>
      <c r="E53" s="12"/>
      <c r="F53" s="12"/>
      <c r="G53" s="12"/>
      <c r="H53" s="12"/>
      <c r="R53" s="50"/>
      <c r="S53" s="50"/>
      <c r="T53" s="50"/>
      <c r="U53" s="16"/>
      <c r="V53" s="16"/>
    </row>
    <row r="54" spans="2:24" ht="15.75">
      <c r="B54" s="45" t="s">
        <v>11</v>
      </c>
      <c r="C54" s="12"/>
      <c r="D54" s="12"/>
      <c r="E54" s="12"/>
      <c r="F54" s="12"/>
      <c r="G54" s="12"/>
      <c r="R54" s="125"/>
      <c r="S54" s="123" t="s">
        <v>80</v>
      </c>
      <c r="T54" s="127"/>
      <c r="U54" s="12"/>
      <c r="V54" s="12"/>
    </row>
    <row r="55" spans="2:24">
      <c r="B55" s="12"/>
      <c r="C55" s="12"/>
      <c r="D55" s="12"/>
      <c r="E55" s="12"/>
      <c r="F55" s="12"/>
      <c r="G55" s="12"/>
      <c r="R55" s="12"/>
      <c r="S55" s="12"/>
      <c r="T55" s="12"/>
      <c r="U55" s="12"/>
      <c r="V55" s="12"/>
    </row>
    <row r="56" spans="2:24" ht="15.75">
      <c r="B56" s="60" t="s">
        <v>71</v>
      </c>
      <c r="C56" s="58"/>
      <c r="D56" s="53" t="s">
        <v>5</v>
      </c>
      <c r="F56" s="60" t="s">
        <v>65</v>
      </c>
      <c r="G56" s="58"/>
      <c r="H56" s="59"/>
      <c r="I56" s="53" t="s">
        <v>5</v>
      </c>
      <c r="J56" s="8"/>
      <c r="K56" s="60" t="s">
        <v>66</v>
      </c>
      <c r="L56" s="58"/>
      <c r="M56" s="53" t="s">
        <v>5</v>
      </c>
      <c r="R56" s="12"/>
      <c r="S56" s="12"/>
      <c r="T56" s="12"/>
      <c r="U56" s="12"/>
      <c r="V56" s="12"/>
    </row>
    <row r="57" spans="2:24" ht="16.5">
      <c r="B57" s="10"/>
      <c r="D57" s="53" t="s">
        <v>111</v>
      </c>
      <c r="F57" s="10"/>
      <c r="H57" s="13"/>
      <c r="I57" s="53" t="s">
        <v>111</v>
      </c>
      <c r="J57" s="8"/>
      <c r="K57" s="10"/>
      <c r="M57" s="53" t="s">
        <v>111</v>
      </c>
    </row>
    <row r="58" spans="2:24" ht="15">
      <c r="I58" s="54"/>
      <c r="J58" s="8"/>
      <c r="M58" s="54" t="s">
        <v>72</v>
      </c>
    </row>
    <row r="59" spans="2:24">
      <c r="E59" s="8"/>
      <c r="F59" s="8"/>
    </row>
    <row r="60" spans="2:24">
      <c r="E60" s="8"/>
      <c r="F60" s="8"/>
    </row>
    <row r="61" spans="2:24" ht="15.75">
      <c r="B61" s="45" t="s">
        <v>12</v>
      </c>
      <c r="E61" s="8"/>
      <c r="F61" s="8"/>
    </row>
    <row r="62" spans="2:24">
      <c r="E62" s="8"/>
      <c r="F62" s="8"/>
    </row>
    <row r="63" spans="2:24" ht="15.75">
      <c r="B63" s="61" t="s">
        <v>73</v>
      </c>
      <c r="C63" s="58"/>
      <c r="D63" s="53" t="s">
        <v>74</v>
      </c>
      <c r="E63" s="8"/>
    </row>
    <row r="64" spans="2:24" ht="20.25">
      <c r="B64" s="14"/>
      <c r="D64" s="54" t="s">
        <v>79</v>
      </c>
      <c r="E64" s="8"/>
    </row>
    <row r="65" spans="4:5" ht="15">
      <c r="D65" s="53" t="s">
        <v>76</v>
      </c>
      <c r="E65" s="8"/>
    </row>
    <row r="66" spans="4:5" ht="15">
      <c r="D66" s="53" t="s">
        <v>75</v>
      </c>
    </row>
    <row r="67" spans="4:5" ht="15">
      <c r="D67" s="53" t="s">
        <v>77</v>
      </c>
    </row>
    <row r="68" spans="4:5" ht="15">
      <c r="D68" s="53" t="s">
        <v>78</v>
      </c>
    </row>
  </sheetData>
  <mergeCells count="4">
    <mergeCell ref="C23:D23"/>
    <mergeCell ref="C24:D24"/>
    <mergeCell ref="G19:H19"/>
    <mergeCell ref="G18:H18"/>
  </mergeCells>
  <pageMargins left="0.78740157480314965" right="0.23622047244094491" top="0.74803149606299213" bottom="0.74803149606299213" header="0.31496062992125984" footer="0.31496062992125984"/>
  <pageSetup scale="34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2AA5-B219-48C3-8BE0-72DAA158808B}">
  <sheetPr>
    <pageSetUpPr fitToPage="1"/>
  </sheetPr>
  <dimension ref="A1:CU108"/>
  <sheetViews>
    <sheetView topLeftCell="A33" zoomScale="115" zoomScaleNormal="115" workbookViewId="0">
      <selection activeCell="Z35" sqref="Z35"/>
    </sheetView>
  </sheetViews>
  <sheetFormatPr baseColWidth="10" defaultRowHeight="14.25"/>
  <cols>
    <col min="1" max="1" width="17.875" bestFit="1" customWidth="1"/>
    <col min="2" max="2" width="8" customWidth="1"/>
    <col min="3" max="3" width="11.375" style="19" bestFit="1" customWidth="1"/>
    <col min="4" max="4" width="11.375" style="19" customWidth="1"/>
    <col min="5" max="5" width="18" style="19" customWidth="1"/>
    <col min="7" max="7" width="15" customWidth="1"/>
    <col min="8" max="8" width="14.5" bestFit="1" customWidth="1"/>
    <col min="9" max="9" width="11.75" customWidth="1"/>
    <col min="10" max="10" width="11" customWidth="1"/>
    <col min="11" max="11" width="12.875" customWidth="1"/>
    <col min="12" max="12" width="12.125" customWidth="1"/>
    <col min="13" max="13" width="13.375" customWidth="1"/>
    <col min="14" max="14" width="12.125" customWidth="1"/>
    <col min="15" max="17" width="14.125" customWidth="1"/>
    <col min="18" max="21" width="13.75" customWidth="1"/>
    <col min="22" max="22" width="15.625" customWidth="1"/>
    <col min="23" max="23" width="8.125" bestFit="1" customWidth="1"/>
    <col min="24" max="24" width="7.625" customWidth="1"/>
    <col min="25" max="25" width="9.5" bestFit="1" customWidth="1"/>
    <col min="26" max="26" width="11.375" customWidth="1"/>
    <col min="27" max="27" width="9.625" customWidth="1"/>
    <col min="29" max="29" width="18.625" customWidth="1"/>
    <col min="32" max="32" width="27.5" bestFit="1" customWidth="1"/>
    <col min="33" max="33" width="14.375" customWidth="1"/>
    <col min="35" max="35" width="13.875" customWidth="1"/>
    <col min="36" max="36" width="12.375" customWidth="1"/>
    <col min="37" max="37" width="13.625" customWidth="1"/>
    <col min="38" max="38" width="20.625" customWidth="1"/>
    <col min="39" max="39" width="18.125" customWidth="1"/>
    <col min="40" max="40" width="22" customWidth="1"/>
    <col min="41" max="43" width="23.875" customWidth="1"/>
    <col min="44" max="47" width="16.25" customWidth="1"/>
    <col min="48" max="48" width="6.875" style="12" customWidth="1"/>
    <col min="49" max="49" width="7.625" style="12" customWidth="1"/>
    <col min="50" max="50" width="5.625" style="12" customWidth="1"/>
    <col min="51" max="54" width="5.625" customWidth="1"/>
    <col min="55" max="55" width="6.375" bestFit="1" customWidth="1"/>
    <col min="56" max="77" width="5.625" customWidth="1"/>
  </cols>
  <sheetData>
    <row r="1" spans="1:14" ht="15">
      <c r="A1" s="26" t="s">
        <v>87</v>
      </c>
      <c r="B1" s="26" t="s">
        <v>15</v>
      </c>
      <c r="C1" s="26" t="s">
        <v>16</v>
      </c>
      <c r="D1" s="27" t="s">
        <v>17</v>
      </c>
      <c r="E1" s="27" t="s">
        <v>18</v>
      </c>
    </row>
    <row r="2" spans="1:14" ht="15">
      <c r="A2" s="69" t="s">
        <v>88</v>
      </c>
      <c r="B2" s="28">
        <v>0.7</v>
      </c>
      <c r="C2" s="28">
        <f>B2</f>
        <v>0.7</v>
      </c>
      <c r="D2" s="63">
        <v>0</v>
      </c>
      <c r="E2" s="63">
        <v>0.69</v>
      </c>
    </row>
    <row r="3" spans="1:14" ht="15">
      <c r="A3" s="69" t="s">
        <v>89</v>
      </c>
      <c r="B3" s="28">
        <v>0.3</v>
      </c>
      <c r="C3" s="28">
        <f>B3+C2</f>
        <v>1</v>
      </c>
      <c r="D3" s="63">
        <f>C2</f>
        <v>0.7</v>
      </c>
      <c r="E3" s="63">
        <v>0.99</v>
      </c>
    </row>
    <row r="4" spans="1:14" ht="15">
      <c r="B4" s="19"/>
      <c r="C4"/>
      <c r="D4"/>
      <c r="E4"/>
      <c r="G4" s="46"/>
      <c r="H4" s="46"/>
      <c r="I4" s="46"/>
      <c r="J4" s="46"/>
      <c r="K4" s="46"/>
      <c r="L4" s="46"/>
      <c r="M4" s="46"/>
      <c r="N4" s="46"/>
    </row>
    <row r="5" spans="1:14" ht="15">
      <c r="A5" s="26" t="s">
        <v>90</v>
      </c>
      <c r="B5" s="26" t="s">
        <v>15</v>
      </c>
      <c r="C5" s="26" t="s">
        <v>16</v>
      </c>
      <c r="D5" s="27" t="s">
        <v>17</v>
      </c>
      <c r="E5" s="27" t="s">
        <v>18</v>
      </c>
      <c r="G5" s="46"/>
      <c r="H5" s="46"/>
      <c r="I5" s="46"/>
      <c r="J5" s="46"/>
      <c r="K5" s="46"/>
      <c r="L5" s="46"/>
      <c r="M5" s="46"/>
      <c r="N5" s="46"/>
    </row>
    <row r="6" spans="1:14" ht="15">
      <c r="A6" s="69" t="s">
        <v>91</v>
      </c>
      <c r="B6" s="28">
        <v>0.4</v>
      </c>
      <c r="C6" s="28">
        <f>B6</f>
        <v>0.4</v>
      </c>
      <c r="D6" s="29">
        <v>0</v>
      </c>
      <c r="E6" s="29">
        <v>0.39</v>
      </c>
      <c r="G6" s="46"/>
      <c r="H6" s="46"/>
      <c r="I6" s="46"/>
      <c r="J6" s="46"/>
      <c r="K6" s="46"/>
      <c r="L6" s="46"/>
      <c r="M6" s="46"/>
      <c r="N6" s="46"/>
    </row>
    <row r="7" spans="1:14" ht="15">
      <c r="A7" s="70" t="s">
        <v>92</v>
      </c>
      <c r="B7" s="30">
        <v>0.6</v>
      </c>
      <c r="C7" s="30">
        <f>B7+C6</f>
        <v>1</v>
      </c>
      <c r="D7" s="31">
        <f>C6</f>
        <v>0.4</v>
      </c>
      <c r="E7" s="31">
        <v>0.99</v>
      </c>
      <c r="G7" s="46"/>
      <c r="H7" s="46"/>
      <c r="I7" s="46"/>
      <c r="J7" s="46"/>
      <c r="K7" s="46"/>
      <c r="L7" s="46"/>
      <c r="M7" s="46"/>
      <c r="N7" s="46"/>
    </row>
    <row r="8" spans="1:14" ht="15">
      <c r="B8" s="19"/>
      <c r="C8"/>
      <c r="D8"/>
      <c r="E8"/>
      <c r="G8" s="46"/>
      <c r="H8" s="46"/>
      <c r="I8" s="46"/>
      <c r="J8" s="46"/>
      <c r="K8" s="46"/>
      <c r="L8" s="46"/>
      <c r="M8" s="46"/>
      <c r="N8" s="46"/>
    </row>
    <row r="9" spans="1:14" ht="15.75" thickBot="1">
      <c r="B9" s="19"/>
      <c r="C9"/>
      <c r="D9"/>
      <c r="E9"/>
      <c r="G9" s="46"/>
      <c r="H9" s="46"/>
      <c r="I9" s="46"/>
      <c r="J9" s="46"/>
      <c r="K9" s="46"/>
      <c r="L9" s="46"/>
      <c r="M9" s="46"/>
      <c r="N9" s="46"/>
    </row>
    <row r="10" spans="1:14" ht="18.75" thickBot="1">
      <c r="A10" s="97" t="s">
        <v>6</v>
      </c>
      <c r="B10" s="98"/>
      <c r="C10" s="98"/>
      <c r="D10" s="99"/>
      <c r="E10" s="132"/>
      <c r="G10" s="97" t="s">
        <v>117</v>
      </c>
      <c r="H10" s="98"/>
      <c r="I10" s="98"/>
      <c r="J10" s="98"/>
      <c r="K10" s="99"/>
      <c r="L10" s="46"/>
      <c r="M10" s="46"/>
      <c r="N10" s="46"/>
    </row>
    <row r="11" spans="1:14" ht="15">
      <c r="A11" s="77"/>
      <c r="B11" s="78"/>
      <c r="C11" s="78"/>
      <c r="E11" s="133"/>
      <c r="G11" s="77"/>
      <c r="H11" s="78"/>
      <c r="I11" s="78"/>
      <c r="J11" s="78"/>
      <c r="K11" s="79"/>
      <c r="L11" s="46"/>
      <c r="M11" s="46"/>
      <c r="N11" s="46"/>
    </row>
    <row r="12" spans="1:14" ht="18">
      <c r="A12" s="84" t="s">
        <v>61</v>
      </c>
      <c r="B12" s="62"/>
      <c r="C12" s="57"/>
      <c r="D12" s="47" t="s">
        <v>49</v>
      </c>
      <c r="E12" s="85"/>
      <c r="G12" s="101" t="s">
        <v>82</v>
      </c>
      <c r="H12" s="102"/>
      <c r="I12" s="102"/>
      <c r="J12" s="12"/>
      <c r="K12" s="81"/>
      <c r="L12" s="46"/>
      <c r="M12" s="46"/>
      <c r="N12" s="46"/>
    </row>
    <row r="13" spans="1:14" ht="15.75">
      <c r="A13" s="86"/>
      <c r="B13" s="46"/>
      <c r="C13"/>
      <c r="D13" s="47"/>
      <c r="E13" s="85"/>
      <c r="G13" s="82"/>
      <c r="H13" s="12"/>
      <c r="I13" s="12"/>
      <c r="J13" s="12"/>
      <c r="K13" s="81"/>
      <c r="L13" s="15"/>
      <c r="M13" s="15"/>
      <c r="N13" s="15"/>
    </row>
    <row r="14" spans="1:14" ht="15.75">
      <c r="A14" s="84" t="s">
        <v>62</v>
      </c>
      <c r="B14" s="62"/>
      <c r="C14" s="57"/>
      <c r="D14" s="47" t="s">
        <v>63</v>
      </c>
      <c r="E14" s="85"/>
      <c r="G14" s="80" t="s">
        <v>83</v>
      </c>
      <c r="H14" s="59"/>
      <c r="I14" s="12"/>
      <c r="K14" s="91"/>
    </row>
    <row r="15" spans="1:14" ht="18">
      <c r="A15" s="86"/>
      <c r="B15" s="51"/>
      <c r="C15" s="47"/>
      <c r="D15" s="46"/>
      <c r="E15" s="85"/>
      <c r="G15" s="82"/>
      <c r="H15" s="12"/>
      <c r="I15" s="12"/>
      <c r="K15" s="91"/>
    </row>
    <row r="16" spans="1:14" ht="15.75">
      <c r="A16" s="84" t="s">
        <v>137</v>
      </c>
      <c r="B16" s="57"/>
      <c r="C16" s="57"/>
      <c r="D16" s="47" t="s">
        <v>138</v>
      </c>
      <c r="E16" s="91"/>
      <c r="G16" s="82"/>
      <c r="H16" s="12"/>
      <c r="I16" s="12"/>
      <c r="J16" s="15"/>
      <c r="K16" s="100"/>
      <c r="L16" s="15"/>
      <c r="M16" s="15"/>
      <c r="N16" s="15"/>
    </row>
    <row r="17" spans="1:77">
      <c r="A17" s="83"/>
      <c r="C17"/>
      <c r="D17"/>
      <c r="E17" s="91"/>
      <c r="G17" s="82"/>
      <c r="H17" s="12"/>
      <c r="I17" s="12"/>
      <c r="J17" s="15"/>
      <c r="K17" s="100"/>
      <c r="L17" s="15"/>
      <c r="M17" s="15"/>
      <c r="N17" s="15"/>
    </row>
    <row r="18" spans="1:77" ht="15.75">
      <c r="A18" s="84" t="s">
        <v>139</v>
      </c>
      <c r="B18" s="57"/>
      <c r="C18" s="57"/>
      <c r="D18" s="47" t="s">
        <v>138</v>
      </c>
      <c r="E18" s="91"/>
      <c r="G18" s="80" t="s">
        <v>84</v>
      </c>
      <c r="H18" s="59"/>
      <c r="I18" s="12"/>
      <c r="J18" s="15"/>
      <c r="K18" s="100"/>
      <c r="L18" s="15"/>
      <c r="M18" s="15"/>
      <c r="N18" s="15"/>
    </row>
    <row r="19" spans="1:77">
      <c r="A19" s="83"/>
      <c r="C19"/>
      <c r="D19"/>
      <c r="E19" s="91"/>
      <c r="G19" s="82"/>
      <c r="H19" s="12"/>
      <c r="I19" s="12"/>
      <c r="J19" s="12"/>
      <c r="K19" s="81"/>
      <c r="L19" s="12"/>
      <c r="M19" s="12"/>
      <c r="N19" s="12"/>
    </row>
    <row r="20" spans="1:77" ht="15.75">
      <c r="A20" s="84" t="s">
        <v>67</v>
      </c>
      <c r="B20" s="62"/>
      <c r="C20" s="57"/>
      <c r="D20" s="47" t="s">
        <v>49</v>
      </c>
      <c r="E20" s="85"/>
      <c r="G20" s="82"/>
      <c r="H20" s="12"/>
      <c r="I20" s="12"/>
      <c r="J20" s="12"/>
      <c r="K20" s="81"/>
      <c r="L20" s="12"/>
      <c r="M20" s="12"/>
      <c r="N20" s="12"/>
    </row>
    <row r="21" spans="1:77" ht="18">
      <c r="A21" s="83"/>
      <c r="B21" s="50"/>
      <c r="C21"/>
      <c r="D21" s="51"/>
      <c r="E21" s="85"/>
      <c r="G21" s="83"/>
      <c r="J21" s="12"/>
      <c r="K21" s="81"/>
      <c r="L21" s="12"/>
      <c r="M21" s="12"/>
      <c r="N21" s="12"/>
    </row>
    <row r="22" spans="1:77" ht="15.75">
      <c r="A22" s="84" t="s">
        <v>68</v>
      </c>
      <c r="B22" s="62"/>
      <c r="C22" s="57"/>
      <c r="D22" s="47" t="s">
        <v>69</v>
      </c>
      <c r="E22" s="85"/>
      <c r="G22" s="83"/>
      <c r="J22" s="12"/>
      <c r="K22" s="81"/>
      <c r="L22" s="12"/>
      <c r="M22" s="12"/>
      <c r="N22" s="12"/>
    </row>
    <row r="23" spans="1:77" ht="18">
      <c r="A23" s="83"/>
      <c r="B23" s="46"/>
      <c r="C23"/>
      <c r="D23" s="46"/>
      <c r="E23" s="85"/>
      <c r="G23" s="103" t="s">
        <v>81</v>
      </c>
      <c r="H23" s="104"/>
      <c r="I23" s="104"/>
      <c r="J23" s="12"/>
      <c r="K23" s="81"/>
      <c r="L23" s="12"/>
      <c r="M23" s="12"/>
      <c r="N23" s="12"/>
    </row>
    <row r="24" spans="1:77" ht="16.5" thickBot="1">
      <c r="A24" s="87" t="s">
        <v>85</v>
      </c>
      <c r="B24" s="88"/>
      <c r="C24" s="134"/>
      <c r="D24" s="89" t="s">
        <v>86</v>
      </c>
      <c r="E24" s="90"/>
      <c r="G24" s="92"/>
      <c r="H24" s="16"/>
      <c r="I24" s="16"/>
      <c r="J24" s="12"/>
      <c r="K24" s="81"/>
      <c r="L24" s="12"/>
      <c r="M24" s="12"/>
      <c r="N24" s="12"/>
    </row>
    <row r="25" spans="1:77" ht="15">
      <c r="G25" s="80" t="s">
        <v>80</v>
      </c>
      <c r="H25" s="93"/>
      <c r="I25" s="12"/>
      <c r="J25" s="12"/>
      <c r="K25" s="81"/>
      <c r="L25" s="12"/>
      <c r="M25" s="12"/>
      <c r="N25" s="12"/>
    </row>
    <row r="26" spans="1:77">
      <c r="G26" s="82"/>
      <c r="H26" s="12"/>
      <c r="I26" s="12"/>
      <c r="J26" s="12"/>
      <c r="K26" s="81"/>
      <c r="L26" s="12"/>
      <c r="M26" s="12"/>
      <c r="N26" s="12"/>
    </row>
    <row r="27" spans="1:77" ht="15" thickBot="1">
      <c r="G27" s="94"/>
      <c r="H27" s="95"/>
      <c r="I27" s="95"/>
      <c r="J27" s="95"/>
      <c r="K27" s="96"/>
      <c r="L27" s="12"/>
      <c r="M27" s="12"/>
      <c r="N27" s="12"/>
    </row>
    <row r="28" spans="1:77" ht="15">
      <c r="F28" s="12"/>
      <c r="G28" s="46"/>
      <c r="H28" s="46"/>
      <c r="I28" s="46"/>
      <c r="J28" s="46"/>
    </row>
    <row r="29" spans="1:77">
      <c r="A29" s="12"/>
      <c r="B29" s="12"/>
      <c r="C29" s="12"/>
      <c r="D29" s="12"/>
      <c r="E29" s="12"/>
      <c r="F29" s="12"/>
    </row>
    <row r="30" spans="1:77" ht="23.25">
      <c r="A30" s="36" t="s">
        <v>35</v>
      </c>
      <c r="B30" s="156" t="s">
        <v>43</v>
      </c>
      <c r="C30" s="157"/>
      <c r="D30" s="157"/>
      <c r="E30" s="156" t="s">
        <v>6</v>
      </c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68"/>
      <c r="W30" s="156" t="s">
        <v>8</v>
      </c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68"/>
      <c r="AJ30" s="156" t="s">
        <v>7</v>
      </c>
      <c r="AK30" s="157"/>
      <c r="AL30" s="157"/>
      <c r="AM30" s="157"/>
      <c r="AN30" s="157"/>
      <c r="AO30" s="157"/>
      <c r="AP30" s="157"/>
      <c r="AQ30" s="157"/>
      <c r="AR30" s="168"/>
      <c r="AS30" s="41"/>
      <c r="AT30" s="41"/>
      <c r="AU30" s="41"/>
      <c r="AV30" s="156" t="s">
        <v>9</v>
      </c>
      <c r="AW30" s="157"/>
      <c r="AX30" s="157"/>
      <c r="AY30" s="157"/>
      <c r="AZ30" s="157"/>
      <c r="BA30" s="157"/>
      <c r="BB30" s="157"/>
      <c r="BC30" s="157"/>
      <c r="BD30" s="157"/>
      <c r="BE30" s="157"/>
      <c r="BF30" s="157"/>
      <c r="BG30" s="157"/>
      <c r="BH30" s="157"/>
      <c r="BI30" s="157"/>
      <c r="BJ30" s="157"/>
      <c r="BK30" s="157"/>
      <c r="BL30" s="157"/>
      <c r="BM30" s="157"/>
      <c r="BN30" s="157"/>
      <c r="BO30" s="157"/>
      <c r="BP30" s="157"/>
      <c r="BQ30" s="157"/>
      <c r="BR30" s="157"/>
      <c r="BS30" s="157"/>
      <c r="BT30" s="157"/>
      <c r="BU30" s="157"/>
      <c r="BV30" s="157"/>
      <c r="BW30" s="157"/>
      <c r="BX30" s="157"/>
      <c r="BY30" s="157"/>
    </row>
    <row r="32" spans="1:77" ht="15" customHeight="1">
      <c r="A32" s="8"/>
      <c r="B32" s="8"/>
      <c r="C32" s="18"/>
      <c r="D32" s="18"/>
      <c r="E32" s="18"/>
      <c r="F32" s="186" t="s">
        <v>95</v>
      </c>
      <c r="G32" s="186"/>
      <c r="H32" s="186"/>
      <c r="I32" s="187" t="s">
        <v>94</v>
      </c>
      <c r="J32" s="187"/>
      <c r="K32" s="192" t="s">
        <v>102</v>
      </c>
      <c r="L32" s="192"/>
      <c r="M32" s="195" t="s">
        <v>102</v>
      </c>
      <c r="N32" s="195"/>
      <c r="O32" s="181" t="s">
        <v>95</v>
      </c>
      <c r="P32" s="181"/>
      <c r="Q32" s="181"/>
      <c r="R32" s="176" t="s">
        <v>98</v>
      </c>
      <c r="S32" s="176"/>
      <c r="T32" s="176"/>
      <c r="U32" s="177" t="s">
        <v>101</v>
      </c>
      <c r="V32" s="177"/>
      <c r="W32" s="75" t="s">
        <v>5</v>
      </c>
      <c r="X32" s="76"/>
      <c r="AA32" s="71" t="s">
        <v>5</v>
      </c>
      <c r="AB32" s="72"/>
      <c r="AC32" s="72"/>
      <c r="AD32" s="73" t="s">
        <v>5</v>
      </c>
      <c r="AE32" s="74"/>
      <c r="AF32" s="74"/>
      <c r="AG32" s="74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105" t="s">
        <v>74</v>
      </c>
      <c r="AW32" s="105"/>
      <c r="AX32" s="105"/>
      <c r="AY32" s="106"/>
      <c r="AZ32" s="106"/>
      <c r="BA32" s="105" t="s">
        <v>75</v>
      </c>
      <c r="BB32" s="106"/>
      <c r="BC32" s="106"/>
      <c r="BD32" s="106"/>
      <c r="BE32" s="106"/>
      <c r="BF32" s="106"/>
      <c r="BG32" s="106"/>
    </row>
    <row r="33" spans="1:99" ht="15" customHeight="1">
      <c r="A33" s="8"/>
      <c r="B33" s="8"/>
      <c r="C33" s="18"/>
      <c r="D33" s="18"/>
      <c r="E33" s="18"/>
      <c r="F33" s="188" t="s">
        <v>126</v>
      </c>
      <c r="G33" s="189">
        <v>30</v>
      </c>
      <c r="H33" s="142"/>
      <c r="I33" s="190" t="s">
        <v>128</v>
      </c>
      <c r="J33" s="191">
        <v>5</v>
      </c>
      <c r="K33" s="194" t="s">
        <v>127</v>
      </c>
      <c r="L33" s="193">
        <v>30</v>
      </c>
      <c r="M33" s="196" t="s">
        <v>127</v>
      </c>
      <c r="N33" s="197">
        <v>30</v>
      </c>
      <c r="O33" s="182" t="s">
        <v>126</v>
      </c>
      <c r="P33" s="170">
        <v>30</v>
      </c>
      <c r="Q33" s="110"/>
      <c r="R33" s="114" t="s">
        <v>129</v>
      </c>
      <c r="S33" s="116">
        <v>40</v>
      </c>
      <c r="T33" s="112"/>
      <c r="U33" s="109"/>
      <c r="V33" s="109"/>
      <c r="W33" s="75" t="s">
        <v>111</v>
      </c>
      <c r="X33" s="76"/>
      <c r="AA33" s="71" t="s">
        <v>111</v>
      </c>
      <c r="AB33" s="72"/>
      <c r="AC33" s="72"/>
      <c r="AD33" s="73" t="s">
        <v>111</v>
      </c>
      <c r="AE33" s="74"/>
      <c r="AF33" s="74"/>
      <c r="AG33" s="74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108" t="s">
        <v>79</v>
      </c>
      <c r="AW33" s="105"/>
      <c r="AX33" s="105"/>
      <c r="AY33" s="106"/>
      <c r="AZ33" s="106"/>
      <c r="BA33" s="105" t="s">
        <v>77</v>
      </c>
      <c r="BB33" s="106"/>
      <c r="BC33" s="106"/>
      <c r="BD33" s="106"/>
      <c r="BE33" s="106"/>
      <c r="BF33" s="106"/>
      <c r="BG33" s="106"/>
    </row>
    <row r="34" spans="1:99" ht="15">
      <c r="A34" s="34" t="s">
        <v>38</v>
      </c>
      <c r="B34" s="34"/>
      <c r="C34" s="34" t="s">
        <v>38</v>
      </c>
      <c r="D34" s="34"/>
      <c r="E34" s="34"/>
      <c r="F34" s="188"/>
      <c r="G34" s="189"/>
      <c r="H34" s="142"/>
      <c r="I34" s="190"/>
      <c r="J34" s="191"/>
      <c r="K34" s="194"/>
      <c r="L34" s="193"/>
      <c r="M34" s="196"/>
      <c r="N34" s="197"/>
      <c r="O34" s="183"/>
      <c r="P34" s="171"/>
      <c r="Q34" s="111"/>
      <c r="R34" s="115" t="s">
        <v>130</v>
      </c>
      <c r="S34" s="117">
        <v>60</v>
      </c>
      <c r="T34" s="113"/>
      <c r="U34" s="109"/>
      <c r="V34" s="109"/>
      <c r="AD34" s="73" t="s">
        <v>112</v>
      </c>
      <c r="AE34" s="74"/>
      <c r="AF34" s="74"/>
      <c r="AG34" s="74"/>
      <c r="AI34" s="8"/>
      <c r="AJ34" s="8"/>
      <c r="AK34" s="8"/>
      <c r="AL34" s="34" t="s">
        <v>29</v>
      </c>
      <c r="AM34" s="8"/>
      <c r="AN34" s="8"/>
      <c r="AO34" s="34" t="s">
        <v>30</v>
      </c>
      <c r="AP34" s="34"/>
      <c r="AQ34" s="34"/>
      <c r="AS34" s="34" t="s">
        <v>135</v>
      </c>
      <c r="AT34" s="34" t="s">
        <v>135</v>
      </c>
      <c r="AU34" s="34" t="s">
        <v>135</v>
      </c>
      <c r="AV34" s="105" t="s">
        <v>76</v>
      </c>
      <c r="AW34" s="105"/>
      <c r="AX34" s="105"/>
      <c r="AY34" s="106"/>
      <c r="AZ34" s="106"/>
      <c r="BA34" s="105" t="s">
        <v>78</v>
      </c>
      <c r="BB34" s="106"/>
      <c r="BC34" s="107"/>
      <c r="BD34" s="107"/>
      <c r="BE34" s="107"/>
      <c r="BF34" s="107"/>
      <c r="BG34" s="107"/>
    </row>
    <row r="35" spans="1:99" ht="15">
      <c r="A35" s="34" t="s">
        <v>28</v>
      </c>
      <c r="B35" s="34"/>
      <c r="C35" s="34" t="s">
        <v>28</v>
      </c>
      <c r="D35" s="34"/>
      <c r="E35" s="34"/>
      <c r="AA35" s="7"/>
      <c r="AB35" s="7"/>
      <c r="AC35" s="7"/>
      <c r="AD35" s="7"/>
      <c r="AE35" s="7"/>
      <c r="AF35" s="7"/>
      <c r="AG35" s="7"/>
      <c r="AH35" s="7"/>
      <c r="AI35" s="4"/>
      <c r="AJ35" s="4"/>
      <c r="AK35" s="4"/>
      <c r="AL35" s="34" t="s">
        <v>28</v>
      </c>
      <c r="AM35" s="4"/>
      <c r="AN35" s="4"/>
      <c r="AO35" s="35" t="s">
        <v>28</v>
      </c>
      <c r="AP35" s="35"/>
      <c r="AQ35" s="35"/>
      <c r="AS35" s="35" t="s">
        <v>28</v>
      </c>
      <c r="AT35" s="35" t="s">
        <v>28</v>
      </c>
      <c r="AU35" s="35" t="s">
        <v>28</v>
      </c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</row>
    <row r="36" spans="1:99" ht="32.25" customHeight="1">
      <c r="A36" s="152" t="s">
        <v>34</v>
      </c>
      <c r="B36" s="154" t="s">
        <v>2</v>
      </c>
      <c r="C36" s="161" t="s">
        <v>36</v>
      </c>
      <c r="D36" s="155" t="s">
        <v>37</v>
      </c>
      <c r="E36" s="158" t="s">
        <v>42</v>
      </c>
      <c r="F36" s="154" t="s">
        <v>83</v>
      </c>
      <c r="G36" s="154"/>
      <c r="H36" s="154"/>
      <c r="I36" s="154" t="s">
        <v>93</v>
      </c>
      <c r="J36" s="154"/>
      <c r="K36" s="172" t="s">
        <v>103</v>
      </c>
      <c r="L36" s="173"/>
      <c r="M36" s="172" t="s">
        <v>106</v>
      </c>
      <c r="N36" s="173"/>
      <c r="O36" s="154" t="s">
        <v>84</v>
      </c>
      <c r="P36" s="154"/>
      <c r="Q36" s="154"/>
      <c r="R36" s="154" t="s">
        <v>80</v>
      </c>
      <c r="S36" s="154"/>
      <c r="T36" s="154"/>
      <c r="U36" s="172" t="s">
        <v>99</v>
      </c>
      <c r="V36" s="173"/>
      <c r="W36" s="154" t="s">
        <v>70</v>
      </c>
      <c r="X36" s="154"/>
      <c r="Y36" s="172" t="s">
        <v>173</v>
      </c>
      <c r="Z36" s="173"/>
      <c r="AA36" s="172" t="s">
        <v>110</v>
      </c>
      <c r="AB36" s="184"/>
      <c r="AC36" s="173"/>
      <c r="AD36" s="172" t="s">
        <v>64</v>
      </c>
      <c r="AE36" s="184"/>
      <c r="AF36" s="184"/>
      <c r="AG36" s="173"/>
      <c r="AH36" s="172" t="s">
        <v>108</v>
      </c>
      <c r="AI36" s="173"/>
      <c r="AJ36" s="153" t="s">
        <v>113</v>
      </c>
      <c r="AK36" s="153" t="s">
        <v>114</v>
      </c>
      <c r="AL36" s="162" t="s">
        <v>115</v>
      </c>
      <c r="AM36" s="165" t="s">
        <v>133</v>
      </c>
      <c r="AN36" s="165" t="s">
        <v>134</v>
      </c>
      <c r="AO36" s="185" t="s">
        <v>116</v>
      </c>
      <c r="AP36" s="169" t="s">
        <v>118</v>
      </c>
      <c r="AQ36" s="169" t="s">
        <v>119</v>
      </c>
      <c r="AR36" s="169" t="s">
        <v>120</v>
      </c>
      <c r="AS36" s="169" t="s">
        <v>121</v>
      </c>
      <c r="AT36" s="169" t="s">
        <v>123</v>
      </c>
      <c r="AU36" s="169" t="s">
        <v>122</v>
      </c>
      <c r="AV36" s="174" t="s">
        <v>124</v>
      </c>
      <c r="AW36" s="178"/>
      <c r="AX36" s="178"/>
      <c r="AY36" s="178"/>
      <c r="AZ36" s="178"/>
      <c r="BA36" s="178"/>
      <c r="BB36" s="178"/>
      <c r="BC36" s="178"/>
      <c r="BD36" s="178"/>
      <c r="BE36" s="178"/>
      <c r="BF36" s="178"/>
      <c r="BG36" s="178"/>
      <c r="BH36" s="178"/>
      <c r="BI36" s="178"/>
      <c r="BJ36" s="178"/>
      <c r="BK36" s="178"/>
      <c r="BL36" s="178"/>
      <c r="BM36" s="178"/>
      <c r="BN36" s="178"/>
      <c r="BO36" s="178"/>
      <c r="BP36" s="178"/>
      <c r="BQ36" s="178"/>
      <c r="BR36" s="178"/>
      <c r="BS36" s="178"/>
      <c r="BT36" s="178"/>
      <c r="BU36" s="178"/>
      <c r="BV36" s="178"/>
      <c r="BW36" s="178"/>
      <c r="BX36" s="178"/>
      <c r="BY36" s="178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</row>
    <row r="37" spans="1:99" ht="15">
      <c r="A37" s="152"/>
      <c r="B37" s="154"/>
      <c r="C37" s="161"/>
      <c r="D37" s="155"/>
      <c r="E37" s="159"/>
      <c r="F37" s="154"/>
      <c r="G37" s="154"/>
      <c r="H37" s="154"/>
      <c r="I37" s="154"/>
      <c r="J37" s="154"/>
      <c r="K37" s="174"/>
      <c r="L37" s="175"/>
      <c r="M37" s="174"/>
      <c r="N37" s="175"/>
      <c r="O37" s="154"/>
      <c r="P37" s="154"/>
      <c r="Q37" s="154"/>
      <c r="R37" s="154"/>
      <c r="S37" s="154"/>
      <c r="T37" s="154"/>
      <c r="U37" s="174"/>
      <c r="V37" s="175"/>
      <c r="W37" s="154"/>
      <c r="X37" s="154"/>
      <c r="Y37" s="174"/>
      <c r="Z37" s="175"/>
      <c r="AA37" s="174"/>
      <c r="AB37" s="178"/>
      <c r="AC37" s="175"/>
      <c r="AD37" s="174"/>
      <c r="AE37" s="178"/>
      <c r="AF37" s="178"/>
      <c r="AG37" s="175"/>
      <c r="AH37" s="174"/>
      <c r="AI37" s="175"/>
      <c r="AJ37" s="153"/>
      <c r="AK37" s="153"/>
      <c r="AL37" s="163"/>
      <c r="AM37" s="166"/>
      <c r="AN37" s="166"/>
      <c r="AO37" s="185"/>
      <c r="AP37" s="169"/>
      <c r="AQ37" s="169"/>
      <c r="AR37" s="169"/>
      <c r="AS37" s="169"/>
      <c r="AT37" s="169"/>
      <c r="AU37" s="169"/>
      <c r="AV37" s="179" t="s">
        <v>20</v>
      </c>
      <c r="AW37" s="180"/>
      <c r="AX37" s="179" t="s">
        <v>21</v>
      </c>
      <c r="AY37" s="180"/>
      <c r="AZ37" s="179" t="s">
        <v>22</v>
      </c>
      <c r="BA37" s="180"/>
      <c r="BB37" s="179" t="s">
        <v>23</v>
      </c>
      <c r="BC37" s="180"/>
      <c r="BD37" s="179" t="s">
        <v>24</v>
      </c>
      <c r="BE37" s="180"/>
      <c r="BF37" s="179" t="s">
        <v>25</v>
      </c>
      <c r="BG37" s="180"/>
      <c r="BH37" s="179" t="s">
        <v>27</v>
      </c>
      <c r="BI37" s="180"/>
      <c r="BJ37" s="179" t="s">
        <v>31</v>
      </c>
      <c r="BK37" s="180"/>
      <c r="BL37" s="179" t="s">
        <v>32</v>
      </c>
      <c r="BM37" s="180"/>
      <c r="BN37" s="179" t="s">
        <v>39</v>
      </c>
      <c r="BO37" s="180"/>
      <c r="BP37" s="179" t="s">
        <v>40</v>
      </c>
      <c r="BQ37" s="180"/>
      <c r="BR37" s="179" t="s">
        <v>41</v>
      </c>
      <c r="BS37" s="180"/>
      <c r="BT37" s="179" t="s">
        <v>44</v>
      </c>
      <c r="BU37" s="180"/>
      <c r="BV37" s="179" t="s">
        <v>45</v>
      </c>
      <c r="BW37" s="180"/>
      <c r="BX37" s="179" t="s">
        <v>46</v>
      </c>
      <c r="BY37" s="180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</row>
    <row r="38" spans="1:99" ht="45" customHeight="1">
      <c r="A38" s="152"/>
      <c r="B38" s="154"/>
      <c r="C38" s="161"/>
      <c r="D38" s="155"/>
      <c r="E38" s="160"/>
      <c r="F38" s="5" t="s">
        <v>0</v>
      </c>
      <c r="G38" s="5" t="s">
        <v>1</v>
      </c>
      <c r="H38" s="144" t="s">
        <v>4</v>
      </c>
      <c r="I38" s="5" t="s">
        <v>96</v>
      </c>
      <c r="J38" s="64" t="s">
        <v>93</v>
      </c>
      <c r="K38" s="5" t="s">
        <v>104</v>
      </c>
      <c r="L38" s="67" t="s">
        <v>105</v>
      </c>
      <c r="M38" s="5" t="s">
        <v>104</v>
      </c>
      <c r="N38" s="68" t="s">
        <v>105</v>
      </c>
      <c r="O38" s="5" t="s">
        <v>0</v>
      </c>
      <c r="P38" s="5" t="s">
        <v>97</v>
      </c>
      <c r="Q38" s="37" t="s">
        <v>84</v>
      </c>
      <c r="R38" s="5" t="s">
        <v>0</v>
      </c>
      <c r="S38" s="5" t="s">
        <v>97</v>
      </c>
      <c r="T38" s="65" t="s">
        <v>80</v>
      </c>
      <c r="U38" s="5" t="s">
        <v>100</v>
      </c>
      <c r="V38" s="66" t="s">
        <v>99</v>
      </c>
      <c r="W38" s="5" t="s">
        <v>3</v>
      </c>
      <c r="X38" s="5" t="s">
        <v>109</v>
      </c>
      <c r="Y38" s="5" t="s">
        <v>0</v>
      </c>
      <c r="Z38" s="5" t="s">
        <v>107</v>
      </c>
      <c r="AA38" s="5" t="s">
        <v>3</v>
      </c>
      <c r="AB38" s="5" t="s">
        <v>109</v>
      </c>
      <c r="AC38" s="5" t="s">
        <v>132</v>
      </c>
      <c r="AD38" s="5" t="s">
        <v>3</v>
      </c>
      <c r="AE38" s="5" t="s">
        <v>109</v>
      </c>
      <c r="AF38" s="5" t="s">
        <v>136</v>
      </c>
      <c r="AG38" s="5" t="s">
        <v>167</v>
      </c>
      <c r="AH38" s="5" t="s">
        <v>0</v>
      </c>
      <c r="AI38" s="5" t="s">
        <v>168</v>
      </c>
      <c r="AJ38" s="153"/>
      <c r="AK38" s="153"/>
      <c r="AL38" s="164"/>
      <c r="AM38" s="167"/>
      <c r="AN38" s="167"/>
      <c r="AO38" s="185"/>
      <c r="AP38" s="169"/>
      <c r="AQ38" s="169"/>
      <c r="AR38" s="169"/>
      <c r="AS38" s="169"/>
      <c r="AT38" s="169"/>
      <c r="AU38" s="169"/>
      <c r="AV38" s="32" t="s">
        <v>3</v>
      </c>
      <c r="AW38" s="40" t="s">
        <v>170</v>
      </c>
      <c r="AX38" s="32" t="s">
        <v>26</v>
      </c>
      <c r="AY38" s="40" t="s">
        <v>171</v>
      </c>
      <c r="AZ38" s="32" t="s">
        <v>26</v>
      </c>
      <c r="BA38" s="40" t="s">
        <v>171</v>
      </c>
      <c r="BB38" s="32" t="s">
        <v>26</v>
      </c>
      <c r="BC38" s="40" t="s">
        <v>171</v>
      </c>
      <c r="BD38" s="32" t="s">
        <v>26</v>
      </c>
      <c r="BE38" s="40" t="s">
        <v>171</v>
      </c>
      <c r="BF38" s="32" t="s">
        <v>26</v>
      </c>
      <c r="BG38" s="40" t="s">
        <v>171</v>
      </c>
      <c r="BH38" s="32" t="s">
        <v>26</v>
      </c>
      <c r="BI38" s="40" t="s">
        <v>171</v>
      </c>
      <c r="BJ38" s="32" t="s">
        <v>26</v>
      </c>
      <c r="BK38" s="40" t="s">
        <v>171</v>
      </c>
      <c r="BL38" s="32" t="s">
        <v>26</v>
      </c>
      <c r="BM38" s="40" t="s">
        <v>171</v>
      </c>
      <c r="BN38" s="32" t="s">
        <v>26</v>
      </c>
      <c r="BO38" s="40" t="s">
        <v>171</v>
      </c>
      <c r="BP38" s="32" t="s">
        <v>26</v>
      </c>
      <c r="BQ38" s="40" t="s">
        <v>171</v>
      </c>
      <c r="BR38" s="32" t="s">
        <v>26</v>
      </c>
      <c r="BS38" s="40" t="s">
        <v>171</v>
      </c>
      <c r="BT38" s="32" t="s">
        <v>26</v>
      </c>
      <c r="BU38" s="40" t="s">
        <v>171</v>
      </c>
      <c r="BV38" s="32" t="s">
        <v>26</v>
      </c>
      <c r="BW38" s="40" t="s">
        <v>171</v>
      </c>
      <c r="BX38" s="32" t="s">
        <v>26</v>
      </c>
      <c r="BY38" s="40" t="s">
        <v>171</v>
      </c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</row>
    <row r="39" spans="1:99" ht="18">
      <c r="A39" s="2">
        <v>0</v>
      </c>
      <c r="B39" s="2">
        <v>1</v>
      </c>
      <c r="C39" s="21">
        <f t="shared" ref="C39:C49" si="0">D39/60</f>
        <v>0</v>
      </c>
      <c r="D39" s="38">
        <v>0</v>
      </c>
      <c r="E39" s="21" t="s">
        <v>14</v>
      </c>
      <c r="F39" s="21">
        <v>0.80575254589968015</v>
      </c>
      <c r="G39" s="21">
        <f>-30*LN(1-F39)</f>
        <v>49.158671883747843</v>
      </c>
      <c r="H39" s="143">
        <f>G39</f>
        <v>49.158671883747843</v>
      </c>
      <c r="I39" s="21"/>
      <c r="J39" s="38"/>
      <c r="K39" s="21"/>
      <c r="L39" s="38"/>
      <c r="M39" s="21"/>
      <c r="N39" s="38"/>
      <c r="O39" s="38"/>
      <c r="P39" s="38"/>
      <c r="Q39" s="38"/>
      <c r="R39" s="38"/>
      <c r="S39" s="38"/>
      <c r="T39" s="38"/>
      <c r="U39" s="38"/>
      <c r="V39" s="38"/>
      <c r="W39" s="2"/>
      <c r="X39" s="2"/>
      <c r="Y39" s="21"/>
      <c r="Z39" s="21"/>
      <c r="AA39" s="2"/>
      <c r="AB39" s="1"/>
      <c r="AC39" s="1"/>
      <c r="AD39" s="1"/>
      <c r="AE39" s="1"/>
      <c r="AF39" s="145" t="s">
        <v>140</v>
      </c>
      <c r="AG39" s="145"/>
      <c r="AH39" s="21"/>
      <c r="AI39" s="21" t="str">
        <f>IF(ISBLANK(AH39),"",LOOKUP(AH39,#REF!,#REF!))</f>
        <v/>
      </c>
      <c r="AJ39" s="23"/>
      <c r="AK39" s="23"/>
      <c r="AL39" s="33"/>
      <c r="AM39" s="23"/>
      <c r="AN39" s="24"/>
      <c r="AO39" s="23"/>
      <c r="AP39" s="23"/>
      <c r="AQ39" s="23"/>
      <c r="AR39" s="118"/>
      <c r="AS39" s="118"/>
      <c r="AT39" s="118"/>
      <c r="AU39" s="118"/>
      <c r="AV39" s="25" t="s">
        <v>14</v>
      </c>
      <c r="AW39" s="22" t="s">
        <v>14</v>
      </c>
      <c r="AX39" s="25" t="s">
        <v>14</v>
      </c>
      <c r="AY39" s="22" t="s">
        <v>14</v>
      </c>
      <c r="AZ39" s="22" t="s">
        <v>14</v>
      </c>
      <c r="BA39" s="22" t="s">
        <v>14</v>
      </c>
      <c r="BB39" s="22" t="s">
        <v>14</v>
      </c>
      <c r="BC39" s="22" t="s">
        <v>14</v>
      </c>
      <c r="BD39" s="22" t="s">
        <v>14</v>
      </c>
      <c r="BE39" s="22" t="s">
        <v>14</v>
      </c>
      <c r="BF39" s="22" t="s">
        <v>14</v>
      </c>
      <c r="BG39" s="22" t="s">
        <v>14</v>
      </c>
      <c r="BH39" s="22" t="s">
        <v>14</v>
      </c>
      <c r="BI39" s="22" t="s">
        <v>14</v>
      </c>
      <c r="BJ39" s="22" t="s">
        <v>14</v>
      </c>
      <c r="BK39" s="22" t="s">
        <v>14</v>
      </c>
      <c r="BL39" s="22" t="s">
        <v>14</v>
      </c>
      <c r="BM39" s="22" t="s">
        <v>14</v>
      </c>
      <c r="BN39" s="22" t="s">
        <v>14</v>
      </c>
      <c r="BO39" s="22" t="s">
        <v>14</v>
      </c>
      <c r="BP39" s="22" t="s">
        <v>14</v>
      </c>
      <c r="BQ39" s="22" t="s">
        <v>14</v>
      </c>
      <c r="BR39" s="22" t="s">
        <v>14</v>
      </c>
      <c r="BS39" s="22" t="s">
        <v>14</v>
      </c>
      <c r="BT39" s="22" t="s">
        <v>14</v>
      </c>
      <c r="BU39" s="22" t="s">
        <v>14</v>
      </c>
      <c r="BV39" s="22" t="s">
        <v>14</v>
      </c>
      <c r="BW39" s="22" t="s">
        <v>14</v>
      </c>
      <c r="BX39" s="22" t="s">
        <v>14</v>
      </c>
      <c r="BY39" s="22" t="s">
        <v>14</v>
      </c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ht="15" customHeight="1">
      <c r="A40" s="6">
        <v>1</v>
      </c>
      <c r="B40" s="2">
        <f>IF(C40&gt;=B39*24,B39+1,B39)</f>
        <v>1</v>
      </c>
      <c r="C40" s="21">
        <f>D40/60</f>
        <v>0.819311198062464</v>
      </c>
      <c r="D40" s="143">
        <f t="shared" ref="D40:D51" si="1">MIN(H39,J39,L39,N39,Q39,T39,V39)</f>
        <v>49.158671883747843</v>
      </c>
      <c r="E40" s="21" t="str" cm="1">
        <f t="array" ref="E40">_xlfn.IFS(D40=H39,"llegada_paciente",D40=J39,"fin_triage",D40=L39,"fin_espera_en_cola_odontologo",D40=N39,"fin_espera_en_cola_cirujano",D40=Q39,"fin-odontologo",D40=T39,"fin_cirujano",D40=V39,"fin_estirilizacion")</f>
        <v>llegada_paciente</v>
      </c>
      <c r="F40" s="21">
        <v>0.90320183533152143</v>
      </c>
      <c r="G40" s="21">
        <f>-$G$33*LN(1-F40)</f>
        <v>70.053817347471849</v>
      </c>
      <c r="H40" s="38">
        <f>D40+G40</f>
        <v>119.21248923121969</v>
      </c>
      <c r="I40" s="21">
        <f>$J$33</f>
        <v>5</v>
      </c>
      <c r="J40" s="39">
        <f>5+D40</f>
        <v>54.158671883747843</v>
      </c>
      <c r="K40" s="21" t="s">
        <v>14</v>
      </c>
      <c r="L40" s="38" t="s">
        <v>14</v>
      </c>
      <c r="M40" s="21" t="s">
        <v>14</v>
      </c>
      <c r="N40" s="38" t="s">
        <v>14</v>
      </c>
      <c r="O40" s="21" t="s">
        <v>14</v>
      </c>
      <c r="P40" s="21" t="s">
        <v>14</v>
      </c>
      <c r="Q40" s="38" t="s">
        <v>14</v>
      </c>
      <c r="R40" s="21" t="s">
        <v>14</v>
      </c>
      <c r="S40" s="21" t="s">
        <v>14</v>
      </c>
      <c r="T40" s="38" t="s">
        <v>14</v>
      </c>
      <c r="U40" s="21" t="s">
        <v>14</v>
      </c>
      <c r="V40" s="38" t="s">
        <v>14</v>
      </c>
      <c r="W40" s="2" t="s">
        <v>33</v>
      </c>
      <c r="X40" s="2">
        <v>0</v>
      </c>
      <c r="Y40" s="21" t="s">
        <v>14</v>
      </c>
      <c r="Z40" s="21" t="s">
        <v>14</v>
      </c>
      <c r="AA40" s="2" t="s">
        <v>13</v>
      </c>
      <c r="AB40" s="1">
        <v>0</v>
      </c>
      <c r="AC40" s="1">
        <v>0</v>
      </c>
      <c r="AD40" s="1" t="s">
        <v>13</v>
      </c>
      <c r="AE40" s="1">
        <v>0</v>
      </c>
      <c r="AF40" s="1">
        <v>0</v>
      </c>
      <c r="AG40" s="1" t="str">
        <f>IF(AND(MOD(AF40,3)=0,AF40&lt;&gt;0),"SI","NO")</f>
        <v>NO</v>
      </c>
      <c r="AH40" s="128" t="s">
        <v>14</v>
      </c>
      <c r="AI40" s="122" t="str">
        <f>IF(AH40="-","",LOOKUP(AH40,$D$6:$D$7,$A$6:$A$7))</f>
        <v/>
      </c>
      <c r="AJ40" s="1">
        <v>0</v>
      </c>
      <c r="AK40" s="23">
        <v>0</v>
      </c>
      <c r="AL40" s="33" t="str">
        <f>IF(AJ40=0,"-",AK40/AJ40)</f>
        <v>-</v>
      </c>
      <c r="AM40" s="23">
        <f>AC40</f>
        <v>0</v>
      </c>
      <c r="AN40" s="24">
        <v>0</v>
      </c>
      <c r="AO40" s="118" t="str">
        <f>IF(AM40=0,"-",AN40/AM40)</f>
        <v>-</v>
      </c>
      <c r="AP40" s="22">
        <f t="shared" ref="AP40:AP53" si="2">D40</f>
        <v>49.158671883747843</v>
      </c>
      <c r="AQ40" s="1">
        <v>0</v>
      </c>
      <c r="AR40" s="1">
        <v>0</v>
      </c>
      <c r="AS40" s="119">
        <f>AQ40/AP40</f>
        <v>0</v>
      </c>
      <c r="AT40" s="119">
        <f>AR40/AP40</f>
        <v>0</v>
      </c>
      <c r="AU40" s="119">
        <f>AS40+AT40</f>
        <v>0</v>
      </c>
      <c r="AV40" s="147" t="s">
        <v>125</v>
      </c>
      <c r="AW40" s="22" t="s">
        <v>14</v>
      </c>
      <c r="AX40" s="22" t="s">
        <v>14</v>
      </c>
      <c r="AY40" s="22" t="s">
        <v>14</v>
      </c>
      <c r="AZ40" s="22" t="s">
        <v>14</v>
      </c>
      <c r="BA40" s="22" t="s">
        <v>14</v>
      </c>
      <c r="BB40" s="22" t="s">
        <v>14</v>
      </c>
      <c r="BC40" s="22" t="s">
        <v>14</v>
      </c>
      <c r="BD40" s="22" t="s">
        <v>14</v>
      </c>
      <c r="BE40" s="22" t="s">
        <v>14</v>
      </c>
      <c r="BF40" s="22" t="s">
        <v>14</v>
      </c>
      <c r="BG40" s="22" t="s">
        <v>14</v>
      </c>
      <c r="BH40" s="22" t="s">
        <v>14</v>
      </c>
      <c r="BI40" s="22" t="s">
        <v>14</v>
      </c>
      <c r="BJ40" s="22" t="s">
        <v>14</v>
      </c>
      <c r="BK40" s="22" t="s">
        <v>14</v>
      </c>
      <c r="BL40" s="22" t="s">
        <v>14</v>
      </c>
      <c r="BM40" s="22" t="s">
        <v>14</v>
      </c>
      <c r="BN40" s="22" t="s">
        <v>14</v>
      </c>
      <c r="BO40" s="22" t="s">
        <v>14</v>
      </c>
      <c r="BP40" s="22" t="s">
        <v>14</v>
      </c>
      <c r="BQ40" s="22" t="s">
        <v>14</v>
      </c>
      <c r="BR40" s="22" t="s">
        <v>14</v>
      </c>
      <c r="BS40" s="22" t="s">
        <v>14</v>
      </c>
      <c r="BT40" s="22" t="s">
        <v>14</v>
      </c>
      <c r="BU40" s="22" t="s">
        <v>14</v>
      </c>
      <c r="BV40" s="22" t="s">
        <v>14</v>
      </c>
      <c r="BW40" s="22" t="s">
        <v>14</v>
      </c>
      <c r="BX40" s="22" t="s">
        <v>14</v>
      </c>
      <c r="BY40" s="22" t="s">
        <v>14</v>
      </c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ht="18">
      <c r="A41" s="2">
        <v>2</v>
      </c>
      <c r="B41" s="2">
        <f>IF(C41&gt;=B40*24,B40+1,B40)</f>
        <v>1</v>
      </c>
      <c r="C41" s="21">
        <f t="shared" si="0"/>
        <v>0.90264453139579737</v>
      </c>
      <c r="D41" s="39">
        <f t="shared" si="1"/>
        <v>54.158671883747843</v>
      </c>
      <c r="E41" s="21" t="str" cm="1">
        <f t="array" ref="E41">_xlfn.IFS(D41=H40,"llegada_paciente",D41=J40,"fin_triage",D41=L40,"fin_espera_en_cola_odontologo",D41=N40,"fin_espera_en_cola_cirujano",D41=Q40,"fin-odontologo",D41=T40,"fin_cirujano",D41=V40,"fin_estirilizacion")</f>
        <v>fin_triage</v>
      </c>
      <c r="F41" s="2" t="s">
        <v>14</v>
      </c>
      <c r="G41" s="21" t="s">
        <v>14</v>
      </c>
      <c r="H41" s="38">
        <f>H40</f>
        <v>119.21248923121969</v>
      </c>
      <c r="I41" s="2" t="s">
        <v>14</v>
      </c>
      <c r="J41" s="4" t="s">
        <v>14</v>
      </c>
      <c r="K41" s="21" t="s">
        <v>14</v>
      </c>
      <c r="L41" s="38" t="s">
        <v>14</v>
      </c>
      <c r="M41" s="21" t="s">
        <v>14</v>
      </c>
      <c r="N41" s="38" t="s">
        <v>14</v>
      </c>
      <c r="O41" s="21" t="s">
        <v>14</v>
      </c>
      <c r="P41" s="21" t="s">
        <v>14</v>
      </c>
      <c r="Q41" s="38" t="s">
        <v>14</v>
      </c>
      <c r="R41" s="2">
        <v>0.41</v>
      </c>
      <c r="S41" s="2">
        <f>$S$33+R41*($S$34-$S$33)</f>
        <v>48.2</v>
      </c>
      <c r="T41" s="120">
        <f>D41+S41</f>
        <v>102.35867188374785</v>
      </c>
      <c r="U41" s="21" t="s">
        <v>14</v>
      </c>
      <c r="V41" s="38" t="s">
        <v>14</v>
      </c>
      <c r="W41" s="2" t="s">
        <v>13</v>
      </c>
      <c r="X41" s="2">
        <v>0</v>
      </c>
      <c r="Y41" s="21">
        <v>0.71</v>
      </c>
      <c r="Z41" s="138" t="str">
        <f>LOOKUP(Y41,$D$2:$D$3,$A$2:$A$3)</f>
        <v>Cirujano</v>
      </c>
      <c r="AA41" s="2" t="s">
        <v>13</v>
      </c>
      <c r="AB41" s="2">
        <v>0</v>
      </c>
      <c r="AC41" s="2">
        <v>0</v>
      </c>
      <c r="AD41" s="2" t="s">
        <v>33</v>
      </c>
      <c r="AE41" s="2">
        <v>0</v>
      </c>
      <c r="AF41" s="2">
        <v>0</v>
      </c>
      <c r="AG41" s="1" t="str">
        <f t="shared" ref="AG41:AG53" si="3">IF(AND(MOD(AF41,3)=0,AF41&lt;&gt;0),"SI","NO")</f>
        <v>NO</v>
      </c>
      <c r="AH41" s="128" t="s">
        <v>14</v>
      </c>
      <c r="AI41" s="122" t="str">
        <f t="shared" ref="AI41:AI50" si="4">IF(AH41="-","",LOOKUP(AH41,$D$6:$D$7,$A$6:$A$7))</f>
        <v/>
      </c>
      <c r="AJ41" s="2">
        <v>1</v>
      </c>
      <c r="AK41" s="2">
        <v>0</v>
      </c>
      <c r="AL41" s="33">
        <f t="shared" ref="AL41:AL51" si="5">IF(AJ41=0,"-",AK41/AJ41)</f>
        <v>0</v>
      </c>
      <c r="AM41" s="23">
        <f t="shared" ref="AM41:AM53" si="6">AC41</f>
        <v>0</v>
      </c>
      <c r="AN41" s="2">
        <v>0</v>
      </c>
      <c r="AO41" s="118" t="str">
        <f t="shared" ref="AO41:AO49" si="7">IF(AM41=0,"-",AN41/AM41)</f>
        <v>-</v>
      </c>
      <c r="AP41" s="22">
        <f t="shared" si="2"/>
        <v>54.158671883747843</v>
      </c>
      <c r="AQ41" s="1">
        <v>0</v>
      </c>
      <c r="AR41" s="1">
        <v>0</v>
      </c>
      <c r="AS41" s="119">
        <f t="shared" ref="AS41:AS49" si="8">AQ41/AP41</f>
        <v>0</v>
      </c>
      <c r="AT41" s="119">
        <f t="shared" ref="AT41:AT49" si="9">AR41/AP41</f>
        <v>0</v>
      </c>
      <c r="AU41" s="119">
        <f t="shared" ref="AU41:AU49" si="10">AS41+AT41</f>
        <v>0</v>
      </c>
      <c r="AV41" s="141" t="s">
        <v>131</v>
      </c>
      <c r="AW41" s="22" t="s">
        <v>14</v>
      </c>
      <c r="AX41" s="22" t="s">
        <v>14</v>
      </c>
      <c r="AY41" s="22" t="s">
        <v>14</v>
      </c>
      <c r="AZ41" s="22" t="s">
        <v>14</v>
      </c>
      <c r="BA41" s="22" t="s">
        <v>14</v>
      </c>
      <c r="BB41" s="22" t="s">
        <v>14</v>
      </c>
      <c r="BC41" s="22" t="s">
        <v>14</v>
      </c>
      <c r="BD41" s="22" t="s">
        <v>14</v>
      </c>
      <c r="BE41" s="22" t="s">
        <v>14</v>
      </c>
      <c r="BF41" s="22" t="s">
        <v>14</v>
      </c>
      <c r="BG41" s="22" t="s">
        <v>14</v>
      </c>
      <c r="BH41" s="22" t="s">
        <v>14</v>
      </c>
      <c r="BI41" s="22" t="s">
        <v>14</v>
      </c>
      <c r="BJ41" s="22" t="s">
        <v>14</v>
      </c>
      <c r="BK41" s="22" t="s">
        <v>14</v>
      </c>
      <c r="BL41" s="22" t="s">
        <v>14</v>
      </c>
      <c r="BM41" s="22" t="s">
        <v>14</v>
      </c>
      <c r="BN41" s="22" t="s">
        <v>14</v>
      </c>
      <c r="BO41" s="22" t="s">
        <v>14</v>
      </c>
      <c r="BP41" s="22" t="s">
        <v>14</v>
      </c>
      <c r="BQ41" s="22" t="s">
        <v>14</v>
      </c>
      <c r="BR41" s="22" t="s">
        <v>14</v>
      </c>
      <c r="BS41" s="22" t="s">
        <v>14</v>
      </c>
      <c r="BT41" s="22" t="s">
        <v>14</v>
      </c>
      <c r="BU41" s="22" t="s">
        <v>14</v>
      </c>
      <c r="BV41" s="22" t="s">
        <v>14</v>
      </c>
      <c r="BW41" s="22" t="s">
        <v>14</v>
      </c>
      <c r="BX41" s="22" t="s">
        <v>14</v>
      </c>
      <c r="BY41" s="22" t="s">
        <v>14</v>
      </c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ht="18">
      <c r="A42" s="6">
        <v>3</v>
      </c>
      <c r="B42" s="2">
        <f t="shared" ref="B42:B49" si="11">IF(C42&gt;=B41*24,B41+1,B41)</f>
        <v>1</v>
      </c>
      <c r="C42" s="21">
        <f t="shared" si="0"/>
        <v>1.7059778647291308</v>
      </c>
      <c r="D42" s="120">
        <f t="shared" si="1"/>
        <v>102.35867188374785</v>
      </c>
      <c r="E42" s="21" t="str" cm="1">
        <f t="array" ref="E42">_xlfn.IFS(D42=H41,"llegada_paciente",D42=J41,"fin_triage",D42=L41,"fin_espera_en_cola_odontologo",D42=N41,"fin_espera_en_cola_cirujano",D42=Q41,"fin-odontologo",D42=T41,"fin_cirujano",D42=V41,"fin_estirilizacion")</f>
        <v>fin_cirujano</v>
      </c>
      <c r="F42" s="2" t="s">
        <v>14</v>
      </c>
      <c r="G42" s="21" t="s">
        <v>14</v>
      </c>
      <c r="H42" s="143">
        <f>H41</f>
        <v>119.21248923121969</v>
      </c>
      <c r="I42" s="2" t="s">
        <v>14</v>
      </c>
      <c r="J42" s="4" t="s">
        <v>14</v>
      </c>
      <c r="K42" s="21" t="s">
        <v>14</v>
      </c>
      <c r="L42" s="38" t="s">
        <v>14</v>
      </c>
      <c r="M42" s="21" t="s">
        <v>14</v>
      </c>
      <c r="N42" s="38" t="s">
        <v>14</v>
      </c>
      <c r="O42" s="21" t="s">
        <v>14</v>
      </c>
      <c r="P42" s="21" t="s">
        <v>14</v>
      </c>
      <c r="Q42" s="38" t="s">
        <v>14</v>
      </c>
      <c r="R42" s="21" t="s">
        <v>14</v>
      </c>
      <c r="S42" s="21" t="s">
        <v>14</v>
      </c>
      <c r="T42" s="38" t="s">
        <v>14</v>
      </c>
      <c r="U42" s="21" t="s">
        <v>14</v>
      </c>
      <c r="V42" s="38" t="s">
        <v>14</v>
      </c>
      <c r="W42" s="2" t="s">
        <v>13</v>
      </c>
      <c r="X42" s="2">
        <v>0</v>
      </c>
      <c r="Y42" s="2" t="s">
        <v>14</v>
      </c>
      <c r="Z42" s="21" t="s">
        <v>14</v>
      </c>
      <c r="AA42" s="2" t="s">
        <v>13</v>
      </c>
      <c r="AB42" s="2">
        <v>0</v>
      </c>
      <c r="AC42" s="2">
        <f>AC41</f>
        <v>0</v>
      </c>
      <c r="AD42" s="1" t="s">
        <v>13</v>
      </c>
      <c r="AE42" s="2">
        <v>0</v>
      </c>
      <c r="AF42" s="2">
        <v>1</v>
      </c>
      <c r="AG42" s="1" t="str">
        <f t="shared" si="3"/>
        <v>NO</v>
      </c>
      <c r="AH42" s="128" t="s">
        <v>14</v>
      </c>
      <c r="AI42" s="122" t="str">
        <f t="shared" si="4"/>
        <v/>
      </c>
      <c r="AJ42" s="2">
        <f>AJ41</f>
        <v>1</v>
      </c>
      <c r="AK42" s="2">
        <v>0</v>
      </c>
      <c r="AL42" s="33">
        <f t="shared" si="5"/>
        <v>0</v>
      </c>
      <c r="AM42" s="23">
        <f t="shared" si="6"/>
        <v>0</v>
      </c>
      <c r="AN42" s="2">
        <v>0</v>
      </c>
      <c r="AO42" s="118" t="str">
        <f t="shared" si="7"/>
        <v>-</v>
      </c>
      <c r="AP42" s="22">
        <f t="shared" si="2"/>
        <v>102.35867188374785</v>
      </c>
      <c r="AQ42" s="22">
        <f>D42-D41</f>
        <v>48.2</v>
      </c>
      <c r="AR42" s="1">
        <v>0</v>
      </c>
      <c r="AS42" s="119">
        <f t="shared" si="8"/>
        <v>0.47089317507697198</v>
      </c>
      <c r="AT42" s="119">
        <f t="shared" si="9"/>
        <v>0</v>
      </c>
      <c r="AU42" s="119">
        <f t="shared" si="10"/>
        <v>0.47089317507697198</v>
      </c>
      <c r="AV42" s="121"/>
      <c r="AW42" s="121"/>
      <c r="AX42" s="22" t="s">
        <v>14</v>
      </c>
      <c r="AY42" s="22" t="s">
        <v>14</v>
      </c>
      <c r="AZ42" s="22" t="s">
        <v>14</v>
      </c>
      <c r="BA42" s="22" t="s">
        <v>14</v>
      </c>
      <c r="BB42" s="22" t="s">
        <v>14</v>
      </c>
      <c r="BC42" s="22" t="s">
        <v>14</v>
      </c>
      <c r="BD42" s="22" t="s">
        <v>14</v>
      </c>
      <c r="BE42" s="22" t="s">
        <v>14</v>
      </c>
      <c r="BF42" s="22" t="s">
        <v>14</v>
      </c>
      <c r="BG42" s="22" t="s">
        <v>14</v>
      </c>
      <c r="BH42" s="22" t="s">
        <v>14</v>
      </c>
      <c r="BI42" s="22" t="s">
        <v>14</v>
      </c>
      <c r="BJ42" s="22" t="s">
        <v>14</v>
      </c>
      <c r="BK42" s="22" t="s">
        <v>14</v>
      </c>
      <c r="BL42" s="22" t="s">
        <v>14</v>
      </c>
      <c r="BM42" s="22" t="s">
        <v>14</v>
      </c>
      <c r="BN42" s="22" t="s">
        <v>14</v>
      </c>
      <c r="BO42" s="22" t="s">
        <v>14</v>
      </c>
      <c r="BP42" s="22" t="s">
        <v>14</v>
      </c>
      <c r="BQ42" s="22" t="s">
        <v>14</v>
      </c>
      <c r="BR42" s="22" t="s">
        <v>14</v>
      </c>
      <c r="BS42" s="22" t="s">
        <v>14</v>
      </c>
      <c r="BT42" s="22" t="s">
        <v>14</v>
      </c>
      <c r="BU42" s="22" t="s">
        <v>14</v>
      </c>
      <c r="BV42" s="22" t="s">
        <v>14</v>
      </c>
      <c r="BW42" s="22" t="s">
        <v>14</v>
      </c>
      <c r="BX42" s="22" t="s">
        <v>14</v>
      </c>
      <c r="BY42" s="22" t="s">
        <v>14</v>
      </c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ht="18">
      <c r="A43" s="2">
        <v>4</v>
      </c>
      <c r="B43" s="2">
        <f t="shared" si="11"/>
        <v>1</v>
      </c>
      <c r="C43" s="21">
        <f t="shared" si="0"/>
        <v>1.9868748205203282</v>
      </c>
      <c r="D43" s="143">
        <f t="shared" si="1"/>
        <v>119.21248923121969</v>
      </c>
      <c r="E43" s="21" t="str" cm="1">
        <f t="array" ref="E43">_xlfn.IFS(D43=H42,"llegada_paciente",D43=J42,"fin_triage",D43=L42,"fin_espera_en_cola_odontologo",D43=N42,"fin_espera_en_cola_cirujano",D43=Q42,"fin-odontologo",D43=T42,"fin_cirujano",D43=V42,"fin_estirilizacion")</f>
        <v>llegada_paciente</v>
      </c>
      <c r="F43" s="2">
        <v>0.24</v>
      </c>
      <c r="G43" s="21">
        <f>-$G$33*LN(1-F43)</f>
        <v>8.2331053710528082</v>
      </c>
      <c r="H43" s="38">
        <f>D43+G43</f>
        <v>127.44559460227251</v>
      </c>
      <c r="I43" s="21">
        <f>$J$33</f>
        <v>5</v>
      </c>
      <c r="J43" s="39">
        <f>5+D43</f>
        <v>124.21248923121969</v>
      </c>
      <c r="K43" s="21" t="s">
        <v>14</v>
      </c>
      <c r="L43" s="38" t="s">
        <v>14</v>
      </c>
      <c r="M43" s="21" t="s">
        <v>14</v>
      </c>
      <c r="N43" s="38" t="s">
        <v>14</v>
      </c>
      <c r="O43" s="21" t="s">
        <v>14</v>
      </c>
      <c r="P43" s="21" t="s">
        <v>14</v>
      </c>
      <c r="Q43" s="38" t="s">
        <v>14</v>
      </c>
      <c r="R43" s="21" t="s">
        <v>14</v>
      </c>
      <c r="S43" s="21" t="s">
        <v>14</v>
      </c>
      <c r="T43" s="38" t="s">
        <v>14</v>
      </c>
      <c r="U43" s="21" t="s">
        <v>14</v>
      </c>
      <c r="V43" s="38" t="s">
        <v>14</v>
      </c>
      <c r="W43" s="2" t="s">
        <v>33</v>
      </c>
      <c r="X43" s="2">
        <v>0</v>
      </c>
      <c r="Y43" s="2" t="s">
        <v>14</v>
      </c>
      <c r="Z43" s="21" t="s">
        <v>14</v>
      </c>
      <c r="AA43" s="2" t="s">
        <v>13</v>
      </c>
      <c r="AB43" s="2">
        <v>0</v>
      </c>
      <c r="AC43" s="2">
        <f>AC42</f>
        <v>0</v>
      </c>
      <c r="AD43" s="1" t="s">
        <v>13</v>
      </c>
      <c r="AE43" s="2">
        <v>0</v>
      </c>
      <c r="AF43" s="2">
        <f t="shared" ref="AF43:AF53" si="12">AF42</f>
        <v>1</v>
      </c>
      <c r="AG43" s="1" t="str">
        <f t="shared" si="3"/>
        <v>NO</v>
      </c>
      <c r="AH43" s="128" t="s">
        <v>14</v>
      </c>
      <c r="AI43" s="122" t="str">
        <f t="shared" si="4"/>
        <v/>
      </c>
      <c r="AJ43" s="2">
        <f>AJ42+1</f>
        <v>2</v>
      </c>
      <c r="AK43" s="2">
        <v>0</v>
      </c>
      <c r="AL43" s="33">
        <f t="shared" si="5"/>
        <v>0</v>
      </c>
      <c r="AM43" s="23">
        <f t="shared" si="6"/>
        <v>0</v>
      </c>
      <c r="AN43" s="2">
        <v>0</v>
      </c>
      <c r="AO43" s="118" t="str">
        <f t="shared" si="7"/>
        <v>-</v>
      </c>
      <c r="AP43" s="22">
        <f t="shared" si="2"/>
        <v>119.21248923121969</v>
      </c>
      <c r="AQ43" s="22">
        <f>AQ42</f>
        <v>48.2</v>
      </c>
      <c r="AR43" s="1">
        <v>0</v>
      </c>
      <c r="AS43" s="119">
        <f t="shared" si="8"/>
        <v>0.4043200533000636</v>
      </c>
      <c r="AT43" s="119">
        <f t="shared" si="9"/>
        <v>0</v>
      </c>
      <c r="AU43" s="119">
        <f t="shared" si="10"/>
        <v>0.4043200533000636</v>
      </c>
      <c r="AV43" s="25"/>
      <c r="AW43" s="25"/>
      <c r="AX43" s="147" t="s">
        <v>125</v>
      </c>
      <c r="AY43" s="22" t="s">
        <v>14</v>
      </c>
      <c r="AZ43" s="22" t="s">
        <v>14</v>
      </c>
      <c r="BA43" s="22" t="s">
        <v>14</v>
      </c>
      <c r="BB43" s="22" t="s">
        <v>14</v>
      </c>
      <c r="BC43" s="22" t="s">
        <v>14</v>
      </c>
      <c r="BD43" s="22" t="s">
        <v>14</v>
      </c>
      <c r="BE43" s="22" t="s">
        <v>14</v>
      </c>
      <c r="BF43" s="22" t="s">
        <v>14</v>
      </c>
      <c r="BG43" s="22" t="s">
        <v>14</v>
      </c>
      <c r="BH43" s="22" t="s">
        <v>14</v>
      </c>
      <c r="BI43" s="22" t="s">
        <v>14</v>
      </c>
      <c r="BJ43" s="22" t="s">
        <v>14</v>
      </c>
      <c r="BK43" s="22" t="s">
        <v>14</v>
      </c>
      <c r="BL43" s="22" t="s">
        <v>14</v>
      </c>
      <c r="BM43" s="22" t="s">
        <v>14</v>
      </c>
      <c r="BN43" s="22" t="s">
        <v>14</v>
      </c>
      <c r="BO43" s="22" t="s">
        <v>14</v>
      </c>
      <c r="BP43" s="22" t="s">
        <v>14</v>
      </c>
      <c r="BQ43" s="22" t="s">
        <v>14</v>
      </c>
      <c r="BR43" s="22" t="s">
        <v>14</v>
      </c>
      <c r="BS43" s="22" t="s">
        <v>14</v>
      </c>
      <c r="BT43" s="22" t="s">
        <v>14</v>
      </c>
      <c r="BU43" s="22" t="s">
        <v>14</v>
      </c>
      <c r="BV43" s="22" t="s">
        <v>14</v>
      </c>
      <c r="BW43" s="22" t="s">
        <v>14</v>
      </c>
      <c r="BX43" s="22" t="s">
        <v>14</v>
      </c>
      <c r="BY43" s="22" t="s">
        <v>14</v>
      </c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ht="18">
      <c r="A44" s="6">
        <v>5</v>
      </c>
      <c r="B44" s="2">
        <f t="shared" si="11"/>
        <v>1</v>
      </c>
      <c r="C44" s="21">
        <f t="shared" si="0"/>
        <v>2.0702081538536614</v>
      </c>
      <c r="D44" s="39">
        <f t="shared" si="1"/>
        <v>124.21248923121969</v>
      </c>
      <c r="E44" s="21" t="str" cm="1">
        <f t="array" ref="E44">_xlfn.IFS(D44=H43,"llegada_paciente",D44=J43,"fin_triage",D44=L43,"fin_espera_en_cola_odontologo",D44=N43,"fin_espera_en_cola_cirujano",D44=Q43,"fin-odontologo",D44=T43,"fin_cirujano",D44=V43,"fin_estirilizacion")</f>
        <v>fin_triage</v>
      </c>
      <c r="F44" s="2" t="s">
        <v>14</v>
      </c>
      <c r="G44" s="21" t="s">
        <v>14</v>
      </c>
      <c r="H44" s="38">
        <f>H43</f>
        <v>127.44559460227251</v>
      </c>
      <c r="I44" s="2" t="s">
        <v>14</v>
      </c>
      <c r="J44" s="4" t="s">
        <v>14</v>
      </c>
      <c r="K44" s="21" t="s">
        <v>14</v>
      </c>
      <c r="L44" s="38" t="s">
        <v>14</v>
      </c>
      <c r="M44" s="21" t="s">
        <v>14</v>
      </c>
      <c r="N44" s="38" t="s">
        <v>14</v>
      </c>
      <c r="O44" s="21">
        <v>0.38</v>
      </c>
      <c r="P44" s="21">
        <f>-$P$33*LN(1-O44)</f>
        <v>14.341074028289993</v>
      </c>
      <c r="Q44" s="38">
        <f>D44+P44</f>
        <v>138.55356325950967</v>
      </c>
      <c r="R44" s="21" t="s">
        <v>14</v>
      </c>
      <c r="S44" s="21" t="s">
        <v>14</v>
      </c>
      <c r="T44" s="38" t="s">
        <v>14</v>
      </c>
      <c r="U44" s="21" t="s">
        <v>14</v>
      </c>
      <c r="V44" s="38" t="s">
        <v>14</v>
      </c>
      <c r="W44" s="2" t="s">
        <v>13</v>
      </c>
      <c r="X44" s="2">
        <v>0</v>
      </c>
      <c r="Y44" s="2">
        <v>0.24</v>
      </c>
      <c r="Z44" s="140" t="str">
        <f>LOOKUP(Y44,$D$2:$D$3,$A$2:$A$3)</f>
        <v>Odontólogo</v>
      </c>
      <c r="AA44" s="2" t="s">
        <v>33</v>
      </c>
      <c r="AB44" s="2">
        <v>0</v>
      </c>
      <c r="AC44" s="2">
        <v>1</v>
      </c>
      <c r="AD44" s="1" t="s">
        <v>13</v>
      </c>
      <c r="AE44" s="2">
        <v>0</v>
      </c>
      <c r="AF44" s="2">
        <f t="shared" si="12"/>
        <v>1</v>
      </c>
      <c r="AG44" s="1" t="str">
        <f t="shared" si="3"/>
        <v>NO</v>
      </c>
      <c r="AH44" s="128" t="s">
        <v>14</v>
      </c>
      <c r="AI44" s="122" t="str">
        <f t="shared" si="4"/>
        <v/>
      </c>
      <c r="AJ44" s="2">
        <f>AJ43</f>
        <v>2</v>
      </c>
      <c r="AK44" s="2">
        <v>0</v>
      </c>
      <c r="AL44" s="33">
        <f t="shared" si="5"/>
        <v>0</v>
      </c>
      <c r="AM44" s="23">
        <f t="shared" si="6"/>
        <v>1</v>
      </c>
      <c r="AN44" s="2">
        <v>0</v>
      </c>
      <c r="AO44" s="118">
        <f t="shared" si="7"/>
        <v>0</v>
      </c>
      <c r="AP44" s="22">
        <f t="shared" si="2"/>
        <v>124.21248923121969</v>
      </c>
      <c r="AQ44" s="22">
        <f>AQ43</f>
        <v>48.2</v>
      </c>
      <c r="AR44" s="1">
        <v>0</v>
      </c>
      <c r="AS44" s="119">
        <f t="shared" si="8"/>
        <v>0.38804471513549998</v>
      </c>
      <c r="AT44" s="119">
        <f t="shared" si="9"/>
        <v>0</v>
      </c>
      <c r="AU44" s="119">
        <f t="shared" si="10"/>
        <v>0.38804471513549998</v>
      </c>
      <c r="AV44" s="25"/>
      <c r="AW44" s="25"/>
      <c r="AX44" s="136" t="s">
        <v>19</v>
      </c>
      <c r="AY44" s="22" t="s">
        <v>14</v>
      </c>
      <c r="AZ44" s="22" t="s">
        <v>14</v>
      </c>
      <c r="BA44" s="22" t="s">
        <v>14</v>
      </c>
      <c r="BB44" s="22" t="s">
        <v>14</v>
      </c>
      <c r="BC44" s="22" t="s">
        <v>14</v>
      </c>
      <c r="BD44" s="22" t="s">
        <v>14</v>
      </c>
      <c r="BE44" s="22" t="s">
        <v>14</v>
      </c>
      <c r="BF44" s="22" t="s">
        <v>14</v>
      </c>
      <c r="BG44" s="22" t="s">
        <v>14</v>
      </c>
      <c r="BH44" s="22" t="s">
        <v>14</v>
      </c>
      <c r="BI44" s="22" t="s">
        <v>14</v>
      </c>
      <c r="BJ44" s="22" t="s">
        <v>14</v>
      </c>
      <c r="BK44" s="22" t="s">
        <v>14</v>
      </c>
      <c r="BL44" s="22" t="s">
        <v>14</v>
      </c>
      <c r="BM44" s="22" t="s">
        <v>14</v>
      </c>
      <c r="BN44" s="22" t="s">
        <v>14</v>
      </c>
      <c r="BO44" s="22" t="s">
        <v>14</v>
      </c>
      <c r="BP44" s="22" t="s">
        <v>14</v>
      </c>
      <c r="BQ44" s="22" t="s">
        <v>14</v>
      </c>
      <c r="BR44" s="22" t="s">
        <v>14</v>
      </c>
      <c r="BS44" s="22" t="s">
        <v>14</v>
      </c>
      <c r="BT44" s="22" t="s">
        <v>14</v>
      </c>
      <c r="BU44" s="22" t="s">
        <v>14</v>
      </c>
      <c r="BV44" s="22" t="s">
        <v>14</v>
      </c>
      <c r="BW44" s="22" t="s">
        <v>14</v>
      </c>
      <c r="BX44" s="22" t="s">
        <v>14</v>
      </c>
      <c r="BY44" s="22" t="s">
        <v>14</v>
      </c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ht="18">
      <c r="A45" s="2">
        <v>6</v>
      </c>
      <c r="B45" s="2">
        <f t="shared" si="11"/>
        <v>1</v>
      </c>
      <c r="C45" s="21">
        <f t="shared" si="0"/>
        <v>2.1240932433712083</v>
      </c>
      <c r="D45" s="143">
        <f t="shared" si="1"/>
        <v>127.44559460227251</v>
      </c>
      <c r="E45" s="21" t="str" cm="1">
        <f t="array" ref="E45">_xlfn.IFS(D45=H44,"llegada_paciente",D45=J44,"fin_triage",D45=L44,"fin_espera_en_cola_odontologo",D45=N44,"fin_espera_en_cola_cirujano",D45=Q44,"fin-odontologo",D45=T44,"fin_cirujano",D45=V44,"fin_estirilizacion")</f>
        <v>llegada_paciente</v>
      </c>
      <c r="F45" s="2">
        <v>0.47</v>
      </c>
      <c r="G45" s="21">
        <f>-$G$33*LN(1-F45)</f>
        <v>19.046348173079085</v>
      </c>
      <c r="H45" s="38">
        <f>D45+G45</f>
        <v>146.49194277535159</v>
      </c>
      <c r="I45" s="21">
        <f>$J$33</f>
        <v>5</v>
      </c>
      <c r="J45" s="39">
        <f>5+D45</f>
        <v>132.44559460227251</v>
      </c>
      <c r="K45" s="21" t="s">
        <v>14</v>
      </c>
      <c r="L45" s="38" t="s">
        <v>14</v>
      </c>
      <c r="M45" s="21" t="s">
        <v>14</v>
      </c>
      <c r="N45" s="38" t="s">
        <v>14</v>
      </c>
      <c r="O45" s="21" t="s">
        <v>14</v>
      </c>
      <c r="P45" s="21" t="s">
        <v>14</v>
      </c>
      <c r="Q45" s="38">
        <f>Q44</f>
        <v>138.55356325950967</v>
      </c>
      <c r="R45" s="21" t="s">
        <v>14</v>
      </c>
      <c r="S45" s="21" t="s">
        <v>14</v>
      </c>
      <c r="T45" s="38" t="s">
        <v>14</v>
      </c>
      <c r="U45" s="21" t="s">
        <v>14</v>
      </c>
      <c r="V45" s="38" t="s">
        <v>14</v>
      </c>
      <c r="W45" s="2" t="s">
        <v>33</v>
      </c>
      <c r="X45" s="2">
        <v>0</v>
      </c>
      <c r="Y45" s="2" t="s">
        <v>14</v>
      </c>
      <c r="Z45" s="21" t="s">
        <v>14</v>
      </c>
      <c r="AA45" s="2" t="s">
        <v>33</v>
      </c>
      <c r="AB45" s="2">
        <v>0</v>
      </c>
      <c r="AC45" s="2">
        <f t="shared" ref="AC45:AC52" si="13">AC44</f>
        <v>1</v>
      </c>
      <c r="AD45" s="2" t="s">
        <v>13</v>
      </c>
      <c r="AE45" s="2">
        <v>0</v>
      </c>
      <c r="AF45" s="2">
        <f t="shared" si="12"/>
        <v>1</v>
      </c>
      <c r="AG45" s="1" t="str">
        <f t="shared" si="3"/>
        <v>NO</v>
      </c>
      <c r="AH45" s="128" t="s">
        <v>14</v>
      </c>
      <c r="AI45" s="122" t="str">
        <f t="shared" si="4"/>
        <v/>
      </c>
      <c r="AJ45" s="2">
        <f>AJ44+1</f>
        <v>3</v>
      </c>
      <c r="AK45" s="2">
        <v>0</v>
      </c>
      <c r="AL45" s="33">
        <f t="shared" si="5"/>
        <v>0</v>
      </c>
      <c r="AM45" s="23">
        <f t="shared" si="6"/>
        <v>1</v>
      </c>
      <c r="AN45" s="2">
        <v>0</v>
      </c>
      <c r="AO45" s="118">
        <f t="shared" si="7"/>
        <v>0</v>
      </c>
      <c r="AP45" s="22">
        <f t="shared" si="2"/>
        <v>127.44559460227251</v>
      </c>
      <c r="AQ45" s="22">
        <f>AQ44</f>
        <v>48.2</v>
      </c>
      <c r="AR45" s="1">
        <v>0</v>
      </c>
      <c r="AS45" s="119">
        <f t="shared" si="8"/>
        <v>0.3782005972856165</v>
      </c>
      <c r="AT45" s="119">
        <f t="shared" si="9"/>
        <v>0</v>
      </c>
      <c r="AU45" s="119">
        <f t="shared" si="10"/>
        <v>0.3782005972856165</v>
      </c>
      <c r="AV45" s="25"/>
      <c r="AW45" s="25"/>
      <c r="AX45" s="136" t="s">
        <v>19</v>
      </c>
      <c r="AY45" s="22" t="s">
        <v>14</v>
      </c>
      <c r="AZ45" s="148" t="s">
        <v>125</v>
      </c>
      <c r="BA45" s="22" t="s">
        <v>14</v>
      </c>
      <c r="BB45" s="22" t="s">
        <v>14</v>
      </c>
      <c r="BC45" s="22" t="s">
        <v>14</v>
      </c>
      <c r="BD45" s="22" t="s">
        <v>14</v>
      </c>
      <c r="BE45" s="22" t="s">
        <v>14</v>
      </c>
      <c r="BF45" s="22" t="s">
        <v>14</v>
      </c>
      <c r="BG45" s="22" t="s">
        <v>14</v>
      </c>
      <c r="BH45" s="22" t="s">
        <v>14</v>
      </c>
      <c r="BI45" s="22" t="s">
        <v>14</v>
      </c>
      <c r="BJ45" s="22" t="s">
        <v>14</v>
      </c>
      <c r="BK45" s="22" t="s">
        <v>14</v>
      </c>
      <c r="BL45" s="22" t="s">
        <v>14</v>
      </c>
      <c r="BM45" s="22" t="s">
        <v>14</v>
      </c>
      <c r="BN45" s="22" t="s">
        <v>14</v>
      </c>
      <c r="BO45" s="22" t="s">
        <v>14</v>
      </c>
      <c r="BP45" s="22" t="s">
        <v>14</v>
      </c>
      <c r="BQ45" s="22" t="s">
        <v>14</v>
      </c>
      <c r="BR45" s="22" t="s">
        <v>14</v>
      </c>
      <c r="BS45" s="22" t="s">
        <v>14</v>
      </c>
      <c r="BT45" s="22" t="s">
        <v>14</v>
      </c>
      <c r="BU45" s="22" t="s">
        <v>14</v>
      </c>
      <c r="BV45" s="22" t="s">
        <v>14</v>
      </c>
      <c r="BW45" s="22" t="s">
        <v>14</v>
      </c>
      <c r="BX45" s="22" t="s">
        <v>14</v>
      </c>
      <c r="BY45" s="22" t="s">
        <v>14</v>
      </c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ht="18">
      <c r="A46" s="6">
        <v>7</v>
      </c>
      <c r="B46" s="2">
        <f t="shared" si="11"/>
        <v>1</v>
      </c>
      <c r="C46" s="21">
        <f t="shared" si="0"/>
        <v>2.2074265767045418</v>
      </c>
      <c r="D46" s="39">
        <f t="shared" si="1"/>
        <v>132.44559460227251</v>
      </c>
      <c r="E46" s="21" t="str" cm="1">
        <f t="array" ref="E46">_xlfn.IFS(D46=H45,"llegada_paciente",D46=J45,"fin_triage",D46=L45,"fin_espera_en_cola_odontologo",D46=N45,"fin_espera_en_cola_cirujano",D46=Q45,"fin-odontologo",D46=T45,"fin_cirujano",D46=V45,"fin_estirilizacion")</f>
        <v>fin_triage</v>
      </c>
      <c r="F46" s="2" t="s">
        <v>14</v>
      </c>
      <c r="G46" s="21" t="s">
        <v>14</v>
      </c>
      <c r="H46" s="38">
        <f>H45</f>
        <v>146.49194277535159</v>
      </c>
      <c r="I46" s="2" t="s">
        <v>14</v>
      </c>
      <c r="J46" s="4" t="s">
        <v>14</v>
      </c>
      <c r="K46" s="21" t="s">
        <v>14</v>
      </c>
      <c r="L46" s="38" t="s">
        <v>14</v>
      </c>
      <c r="M46" s="21" t="s">
        <v>14</v>
      </c>
      <c r="N46" s="38" t="s">
        <v>14</v>
      </c>
      <c r="O46" s="21" t="s">
        <v>14</v>
      </c>
      <c r="P46" s="21" t="s">
        <v>14</v>
      </c>
      <c r="Q46" s="135">
        <f>Q45</f>
        <v>138.55356325950967</v>
      </c>
      <c r="R46" s="2">
        <v>0.67</v>
      </c>
      <c r="S46" s="2">
        <f>$S$33+R46*($S$34-$S$33)</f>
        <v>53.4</v>
      </c>
      <c r="T46" s="38">
        <f>D46+S46</f>
        <v>185.84559460227251</v>
      </c>
      <c r="U46" s="21" t="s">
        <v>14</v>
      </c>
      <c r="V46" s="38" t="s">
        <v>14</v>
      </c>
      <c r="W46" s="2" t="s">
        <v>13</v>
      </c>
      <c r="X46" s="2">
        <v>0</v>
      </c>
      <c r="Y46" s="2">
        <v>0.86</v>
      </c>
      <c r="Z46" s="139" t="str">
        <f>LOOKUP(Y46,$D$2:$D$3,$A$2:$A$3)</f>
        <v>Cirujano</v>
      </c>
      <c r="AA46" s="2" t="s">
        <v>33</v>
      </c>
      <c r="AB46" s="2">
        <v>0</v>
      </c>
      <c r="AC46" s="2">
        <f t="shared" si="13"/>
        <v>1</v>
      </c>
      <c r="AD46" s="2" t="s">
        <v>33</v>
      </c>
      <c r="AE46" s="2">
        <v>0</v>
      </c>
      <c r="AF46" s="2">
        <f t="shared" si="12"/>
        <v>1</v>
      </c>
      <c r="AG46" s="1" t="str">
        <f t="shared" si="3"/>
        <v>NO</v>
      </c>
      <c r="AH46" s="128" t="s">
        <v>14</v>
      </c>
      <c r="AI46" s="122" t="str">
        <f t="shared" si="4"/>
        <v/>
      </c>
      <c r="AJ46" s="2">
        <f>AJ45</f>
        <v>3</v>
      </c>
      <c r="AK46" s="2">
        <v>0</v>
      </c>
      <c r="AL46" s="33">
        <f t="shared" si="5"/>
        <v>0</v>
      </c>
      <c r="AM46" s="23">
        <f t="shared" si="6"/>
        <v>1</v>
      </c>
      <c r="AN46" s="2">
        <v>0</v>
      </c>
      <c r="AO46" s="118">
        <f t="shared" si="7"/>
        <v>0</v>
      </c>
      <c r="AP46" s="22">
        <f t="shared" si="2"/>
        <v>132.44559460227251</v>
      </c>
      <c r="AQ46" s="22">
        <f>AQ45</f>
        <v>48.2</v>
      </c>
      <c r="AR46" s="1">
        <v>0</v>
      </c>
      <c r="AS46" s="119">
        <f t="shared" si="8"/>
        <v>0.36392301416096318</v>
      </c>
      <c r="AT46" s="119">
        <f t="shared" si="9"/>
        <v>0</v>
      </c>
      <c r="AU46" s="119">
        <f t="shared" si="10"/>
        <v>0.36392301416096318</v>
      </c>
      <c r="AV46" s="25"/>
      <c r="AW46" s="25"/>
      <c r="AX46" s="136" t="s">
        <v>19</v>
      </c>
      <c r="AY46" s="22" t="s">
        <v>14</v>
      </c>
      <c r="AZ46" s="137" t="s">
        <v>131</v>
      </c>
      <c r="BA46" s="22" t="s">
        <v>14</v>
      </c>
      <c r="BB46" s="22" t="s">
        <v>14</v>
      </c>
      <c r="BC46" s="22" t="s">
        <v>14</v>
      </c>
      <c r="BD46" s="22" t="s">
        <v>14</v>
      </c>
      <c r="BE46" s="22" t="s">
        <v>14</v>
      </c>
      <c r="BF46" s="22" t="s">
        <v>14</v>
      </c>
      <c r="BG46" s="22" t="s">
        <v>14</v>
      </c>
      <c r="BH46" s="22" t="s">
        <v>14</v>
      </c>
      <c r="BI46" s="22" t="s">
        <v>14</v>
      </c>
      <c r="BJ46" s="22" t="s">
        <v>14</v>
      </c>
      <c r="BK46" s="22" t="s">
        <v>14</v>
      </c>
      <c r="BL46" s="22" t="s">
        <v>14</v>
      </c>
      <c r="BM46" s="22" t="s">
        <v>14</v>
      </c>
      <c r="BN46" s="22" t="s">
        <v>14</v>
      </c>
      <c r="BO46" s="22" t="s">
        <v>14</v>
      </c>
      <c r="BP46" s="22" t="s">
        <v>14</v>
      </c>
      <c r="BQ46" s="22" t="s">
        <v>14</v>
      </c>
      <c r="BR46" s="22" t="s">
        <v>14</v>
      </c>
      <c r="BS46" s="22" t="s">
        <v>14</v>
      </c>
      <c r="BT46" s="22" t="s">
        <v>14</v>
      </c>
      <c r="BU46" s="22" t="s">
        <v>14</v>
      </c>
      <c r="BV46" s="22" t="s">
        <v>14</v>
      </c>
      <c r="BW46" s="22" t="s">
        <v>14</v>
      </c>
      <c r="BX46" s="22" t="s">
        <v>14</v>
      </c>
      <c r="BY46" s="22" t="s">
        <v>14</v>
      </c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ht="18">
      <c r="A47" s="2">
        <v>8</v>
      </c>
      <c r="B47" s="2">
        <f t="shared" si="11"/>
        <v>1</v>
      </c>
      <c r="C47" s="21">
        <f t="shared" si="0"/>
        <v>2.309226054325161</v>
      </c>
      <c r="D47" s="135">
        <f t="shared" si="1"/>
        <v>138.55356325950967</v>
      </c>
      <c r="E47" s="21" t="str" cm="1">
        <f t="array" ref="E47">_xlfn.IFS(D47=H46,"llegada_paciente",D47=J46,"fin_triage",D47=L46,"fin_espera_en_cola_odontologo",D47=N46,"fin_espera_en_cola_cirujano",D47=Q46,"fin-odontologo",D47=T46,"fin_cirujano",D47=V46,"fin_estirilizacion")</f>
        <v>fin-odontologo</v>
      </c>
      <c r="F47" s="2" t="s">
        <v>14</v>
      </c>
      <c r="G47" s="21" t="s">
        <v>14</v>
      </c>
      <c r="H47" s="143">
        <f>H46</f>
        <v>146.49194277535159</v>
      </c>
      <c r="I47" s="2" t="s">
        <v>14</v>
      </c>
      <c r="J47" s="4" t="s">
        <v>14</v>
      </c>
      <c r="K47" s="21" t="s">
        <v>14</v>
      </c>
      <c r="L47" s="38" t="s">
        <v>14</v>
      </c>
      <c r="M47" s="21" t="s">
        <v>14</v>
      </c>
      <c r="N47" s="38" t="s">
        <v>14</v>
      </c>
      <c r="O47" s="21" t="s">
        <v>14</v>
      </c>
      <c r="P47" s="21" t="s">
        <v>14</v>
      </c>
      <c r="Q47" s="38" t="s">
        <v>14</v>
      </c>
      <c r="R47" s="21" t="s">
        <v>14</v>
      </c>
      <c r="S47" s="21" t="s">
        <v>14</v>
      </c>
      <c r="T47" s="38">
        <f t="shared" ref="T47:T53" si="14">T46</f>
        <v>185.84559460227251</v>
      </c>
      <c r="U47" s="21" t="s">
        <v>14</v>
      </c>
      <c r="V47" s="38" t="s">
        <v>14</v>
      </c>
      <c r="W47" s="2" t="s">
        <v>13</v>
      </c>
      <c r="X47" s="2">
        <v>0</v>
      </c>
      <c r="Y47" s="2" t="s">
        <v>14</v>
      </c>
      <c r="Z47" s="21" t="s">
        <v>14</v>
      </c>
      <c r="AA47" s="2" t="s">
        <v>13</v>
      </c>
      <c r="AB47" s="2">
        <v>0</v>
      </c>
      <c r="AC47" s="2">
        <f t="shared" si="13"/>
        <v>1</v>
      </c>
      <c r="AD47" s="2" t="s">
        <v>33</v>
      </c>
      <c r="AE47" s="2">
        <v>0</v>
      </c>
      <c r="AF47" s="2">
        <f t="shared" si="12"/>
        <v>1</v>
      </c>
      <c r="AG47" s="1" t="str">
        <f t="shared" si="3"/>
        <v>NO</v>
      </c>
      <c r="AH47" s="128" t="s">
        <v>14</v>
      </c>
      <c r="AI47" s="122" t="str">
        <f t="shared" si="4"/>
        <v/>
      </c>
      <c r="AJ47" s="2">
        <f>AJ46</f>
        <v>3</v>
      </c>
      <c r="AK47" s="2">
        <f>AK46</f>
        <v>0</v>
      </c>
      <c r="AL47" s="33">
        <f t="shared" si="5"/>
        <v>0</v>
      </c>
      <c r="AM47" s="23">
        <f t="shared" si="6"/>
        <v>1</v>
      </c>
      <c r="AN47" s="2">
        <f t="shared" ref="AN47:AN53" si="15">AN46</f>
        <v>0</v>
      </c>
      <c r="AO47" s="118">
        <f t="shared" si="7"/>
        <v>0</v>
      </c>
      <c r="AP47" s="22">
        <f t="shared" si="2"/>
        <v>138.55356325950967</v>
      </c>
      <c r="AQ47" s="22">
        <f t="shared" ref="AQ47:AQ53" si="16">AQ46+(D47-D46)</f>
        <v>54.307968657237168</v>
      </c>
      <c r="AR47" s="1">
        <v>0</v>
      </c>
      <c r="AS47" s="119">
        <f t="shared" si="8"/>
        <v>0.39196370977135242</v>
      </c>
      <c r="AT47" s="119">
        <f t="shared" si="9"/>
        <v>0</v>
      </c>
      <c r="AU47" s="119">
        <f t="shared" si="10"/>
        <v>0.39196370977135242</v>
      </c>
      <c r="AV47" s="25"/>
      <c r="AW47" s="25"/>
      <c r="AX47" s="121"/>
      <c r="AY47" s="121"/>
      <c r="AZ47" s="137" t="s">
        <v>131</v>
      </c>
      <c r="BA47" s="22" t="s">
        <v>14</v>
      </c>
      <c r="BB47" s="22" t="s">
        <v>14</v>
      </c>
      <c r="BC47" s="22" t="s">
        <v>14</v>
      </c>
      <c r="BD47" s="22" t="s">
        <v>14</v>
      </c>
      <c r="BE47" s="22" t="s">
        <v>14</v>
      </c>
      <c r="BF47" s="22" t="s">
        <v>14</v>
      </c>
      <c r="BG47" s="22" t="s">
        <v>14</v>
      </c>
      <c r="BH47" s="22" t="s">
        <v>14</v>
      </c>
      <c r="BI47" s="22" t="s">
        <v>14</v>
      </c>
      <c r="BJ47" s="22" t="s">
        <v>14</v>
      </c>
      <c r="BK47" s="22" t="s">
        <v>14</v>
      </c>
      <c r="BL47" s="22" t="s">
        <v>14</v>
      </c>
      <c r="BM47" s="22" t="s">
        <v>14</v>
      </c>
      <c r="BN47" s="22" t="s">
        <v>14</v>
      </c>
      <c r="BO47" s="22" t="s">
        <v>14</v>
      </c>
      <c r="BP47" s="22" t="s">
        <v>14</v>
      </c>
      <c r="BQ47" s="22" t="s">
        <v>14</v>
      </c>
      <c r="BR47" s="22" t="s">
        <v>14</v>
      </c>
      <c r="BS47" s="22" t="s">
        <v>14</v>
      </c>
      <c r="BT47" s="22" t="s">
        <v>14</v>
      </c>
      <c r="BU47" s="22" t="s">
        <v>14</v>
      </c>
      <c r="BV47" s="22" t="s">
        <v>14</v>
      </c>
      <c r="BW47" s="22" t="s">
        <v>14</v>
      </c>
      <c r="BX47" s="22" t="s">
        <v>14</v>
      </c>
      <c r="BY47" s="22" t="s">
        <v>14</v>
      </c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ht="18">
      <c r="A48" s="6">
        <v>9</v>
      </c>
      <c r="B48" s="2">
        <f t="shared" si="11"/>
        <v>1</v>
      </c>
      <c r="C48" s="21">
        <f t="shared" si="0"/>
        <v>2.441532379589193</v>
      </c>
      <c r="D48" s="143">
        <f t="shared" si="1"/>
        <v>146.49194277535159</v>
      </c>
      <c r="E48" s="21" t="str" cm="1">
        <f t="array" ref="E48">_xlfn.IFS(D48=H47,"llegada_paciente",D48=J47,"fin_triage",D48=L47,"fin_espera_en_cola_odontologo",D48=N47,"fin_espera_en_cola_cirujano",D48=Q47,"fin-odontologo",D48=T47,"fin_cirujano",D48=V47,"fin_estirilizacion")</f>
        <v>llegada_paciente</v>
      </c>
      <c r="F48" s="2">
        <v>0.02</v>
      </c>
      <c r="G48" s="21">
        <f>-$G$33*LN(1-F48)</f>
        <v>0.60608121952558403</v>
      </c>
      <c r="H48" s="143">
        <f>D48+G48</f>
        <v>147.09802399487717</v>
      </c>
      <c r="I48" s="21">
        <f>$J$33</f>
        <v>5</v>
      </c>
      <c r="J48" s="38">
        <f>D48+I48</f>
        <v>151.49194277535159</v>
      </c>
      <c r="K48" s="21" t="s">
        <v>14</v>
      </c>
      <c r="L48" s="38" t="s">
        <v>14</v>
      </c>
      <c r="M48" s="21" t="s">
        <v>14</v>
      </c>
      <c r="N48" s="38" t="s">
        <v>14</v>
      </c>
      <c r="O48" s="21" t="s">
        <v>14</v>
      </c>
      <c r="P48" s="21" t="s">
        <v>14</v>
      </c>
      <c r="Q48" s="38" t="s">
        <v>14</v>
      </c>
      <c r="R48" s="21" t="s">
        <v>14</v>
      </c>
      <c r="S48" s="21" t="s">
        <v>14</v>
      </c>
      <c r="T48" s="38">
        <f t="shared" si="14"/>
        <v>185.84559460227251</v>
      </c>
      <c r="U48" s="21" t="s">
        <v>14</v>
      </c>
      <c r="V48" s="38" t="s">
        <v>14</v>
      </c>
      <c r="W48" s="2" t="s">
        <v>33</v>
      </c>
      <c r="X48" s="2">
        <v>0</v>
      </c>
      <c r="Y48" s="2" t="s">
        <v>14</v>
      </c>
      <c r="Z48" s="21" t="s">
        <v>14</v>
      </c>
      <c r="AA48" s="2" t="s">
        <v>13</v>
      </c>
      <c r="AB48" s="2">
        <f>AB47</f>
        <v>0</v>
      </c>
      <c r="AC48" s="2">
        <f t="shared" si="13"/>
        <v>1</v>
      </c>
      <c r="AD48" s="2" t="s">
        <v>33</v>
      </c>
      <c r="AE48" s="2">
        <f>AE47</f>
        <v>0</v>
      </c>
      <c r="AF48" s="2">
        <f t="shared" si="12"/>
        <v>1</v>
      </c>
      <c r="AG48" s="1" t="str">
        <f t="shared" si="3"/>
        <v>NO</v>
      </c>
      <c r="AH48" s="128" t="s">
        <v>14</v>
      </c>
      <c r="AI48" s="122" t="str">
        <f t="shared" si="4"/>
        <v/>
      </c>
      <c r="AJ48" s="2">
        <f>AJ47+1</f>
        <v>4</v>
      </c>
      <c r="AK48" s="2">
        <v>0</v>
      </c>
      <c r="AL48" s="33">
        <f t="shared" si="5"/>
        <v>0</v>
      </c>
      <c r="AM48" s="23">
        <f t="shared" si="6"/>
        <v>1</v>
      </c>
      <c r="AN48" s="2">
        <f t="shared" si="15"/>
        <v>0</v>
      </c>
      <c r="AO48" s="118">
        <f t="shared" si="7"/>
        <v>0</v>
      </c>
      <c r="AP48" s="22">
        <f t="shared" si="2"/>
        <v>146.49194277535159</v>
      </c>
      <c r="AQ48" s="22">
        <f t="shared" si="16"/>
        <v>62.246348173079085</v>
      </c>
      <c r="AR48" s="1">
        <f t="shared" ref="AR48:AR53" si="17">AR47</f>
        <v>0</v>
      </c>
      <c r="AS48" s="119">
        <f t="shared" si="8"/>
        <v>0.42491311804455445</v>
      </c>
      <c r="AT48" s="119">
        <f t="shared" si="9"/>
        <v>0</v>
      </c>
      <c r="AU48" s="119">
        <f t="shared" si="10"/>
        <v>0.42491311804455445</v>
      </c>
      <c r="AV48" s="25"/>
      <c r="AW48" s="25"/>
      <c r="AX48" s="25"/>
      <c r="AY48" s="1"/>
      <c r="AZ48" s="137" t="s">
        <v>131</v>
      </c>
      <c r="BA48" s="22" t="s">
        <v>14</v>
      </c>
      <c r="BB48" s="148" t="s">
        <v>125</v>
      </c>
      <c r="BC48" s="22" t="s">
        <v>14</v>
      </c>
      <c r="BD48" s="22" t="s">
        <v>14</v>
      </c>
      <c r="BE48" s="22" t="s">
        <v>14</v>
      </c>
      <c r="BF48" s="22" t="s">
        <v>14</v>
      </c>
      <c r="BG48" s="22" t="s">
        <v>14</v>
      </c>
      <c r="BH48" s="22" t="s">
        <v>14</v>
      </c>
      <c r="BI48" s="22" t="s">
        <v>14</v>
      </c>
      <c r="BJ48" s="22" t="s">
        <v>14</v>
      </c>
      <c r="BK48" s="22" t="s">
        <v>14</v>
      </c>
      <c r="BL48" s="22" t="s">
        <v>14</v>
      </c>
      <c r="BM48" s="22" t="s">
        <v>14</v>
      </c>
      <c r="BN48" s="22" t="s">
        <v>14</v>
      </c>
      <c r="BO48" s="22" t="s">
        <v>14</v>
      </c>
      <c r="BP48" s="22" t="s">
        <v>14</v>
      </c>
      <c r="BQ48" s="22" t="s">
        <v>14</v>
      </c>
      <c r="BR48" s="22" t="s">
        <v>14</v>
      </c>
      <c r="BS48" s="22" t="s">
        <v>14</v>
      </c>
      <c r="BT48" s="22" t="s">
        <v>14</v>
      </c>
      <c r="BU48" s="22" t="s">
        <v>14</v>
      </c>
      <c r="BV48" s="22" t="s">
        <v>14</v>
      </c>
      <c r="BW48" s="22" t="s">
        <v>14</v>
      </c>
      <c r="BX48" s="22" t="s">
        <v>14</v>
      </c>
      <c r="BY48" s="22" t="s">
        <v>14</v>
      </c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ht="18">
      <c r="A49" s="2">
        <v>10</v>
      </c>
      <c r="B49" s="2">
        <f t="shared" si="11"/>
        <v>1</v>
      </c>
      <c r="C49" s="21">
        <f t="shared" si="0"/>
        <v>2.4516337332479528</v>
      </c>
      <c r="D49" s="143">
        <f t="shared" si="1"/>
        <v>147.09802399487717</v>
      </c>
      <c r="E49" s="21" t="str" cm="1">
        <f t="array" ref="E49">_xlfn.IFS(D49=H48,"llegada_paciente",D49=J48,"fin_triage",D49=L48,"fin_espera_en_cola_odontologo",D49=N48,"fin_espera_en_cola_cirujano",D49=Q48,"fin-odontologo",D49=T48,"fin_cirujano",D49=V48,"fin_estirilizacion")</f>
        <v>llegada_paciente</v>
      </c>
      <c r="F49" s="2">
        <v>0.09</v>
      </c>
      <c r="G49" s="21">
        <f>-$G$33*LN(1-F49)</f>
        <v>2.8293203841372385</v>
      </c>
      <c r="H49" s="143">
        <f>D49+G49</f>
        <v>149.92734437901441</v>
      </c>
      <c r="I49" s="2" t="s">
        <v>14</v>
      </c>
      <c r="J49" s="38">
        <f>J48</f>
        <v>151.49194277535159</v>
      </c>
      <c r="K49" s="21" t="s">
        <v>14</v>
      </c>
      <c r="L49" s="38" t="s">
        <v>14</v>
      </c>
      <c r="M49" s="21" t="s">
        <v>14</v>
      </c>
      <c r="N49" s="38" t="s">
        <v>14</v>
      </c>
      <c r="O49" s="21" t="s">
        <v>14</v>
      </c>
      <c r="P49" s="21" t="s">
        <v>14</v>
      </c>
      <c r="Q49" s="38" t="s">
        <v>14</v>
      </c>
      <c r="R49" s="21" t="s">
        <v>14</v>
      </c>
      <c r="S49" s="21" t="s">
        <v>14</v>
      </c>
      <c r="T49" s="38">
        <f t="shared" si="14"/>
        <v>185.84559460227251</v>
      </c>
      <c r="U49" s="21" t="s">
        <v>14</v>
      </c>
      <c r="V49" s="38" t="s">
        <v>14</v>
      </c>
      <c r="W49" s="2" t="s">
        <v>33</v>
      </c>
      <c r="X49" s="2">
        <v>1</v>
      </c>
      <c r="Y49" s="2" t="s">
        <v>14</v>
      </c>
      <c r="Z49" s="21" t="s">
        <v>14</v>
      </c>
      <c r="AA49" s="2" t="s">
        <v>13</v>
      </c>
      <c r="AB49" s="2">
        <f>AB48</f>
        <v>0</v>
      </c>
      <c r="AC49" s="2">
        <f t="shared" si="13"/>
        <v>1</v>
      </c>
      <c r="AD49" s="2" t="s">
        <v>33</v>
      </c>
      <c r="AE49" s="2">
        <f>AE48</f>
        <v>0</v>
      </c>
      <c r="AF49" s="2">
        <f t="shared" si="12"/>
        <v>1</v>
      </c>
      <c r="AG49" s="1" t="str">
        <f t="shared" si="3"/>
        <v>NO</v>
      </c>
      <c r="AH49" s="128" t="s">
        <v>14</v>
      </c>
      <c r="AI49" s="122" t="str">
        <f t="shared" si="4"/>
        <v/>
      </c>
      <c r="AJ49" s="2">
        <f>AJ48+1</f>
        <v>5</v>
      </c>
      <c r="AK49" s="2">
        <v>0</v>
      </c>
      <c r="AL49" s="33">
        <f t="shared" si="5"/>
        <v>0</v>
      </c>
      <c r="AM49" s="23">
        <f t="shared" si="6"/>
        <v>1</v>
      </c>
      <c r="AN49" s="2">
        <f t="shared" si="15"/>
        <v>0</v>
      </c>
      <c r="AO49" s="118">
        <f t="shared" si="7"/>
        <v>0</v>
      </c>
      <c r="AP49" s="22">
        <f t="shared" si="2"/>
        <v>147.09802399487717</v>
      </c>
      <c r="AQ49" s="22">
        <f t="shared" si="16"/>
        <v>62.852429392604662</v>
      </c>
      <c r="AR49" s="1">
        <f t="shared" si="17"/>
        <v>0</v>
      </c>
      <c r="AS49" s="119">
        <f t="shared" si="8"/>
        <v>0.4272826220615551</v>
      </c>
      <c r="AT49" s="119">
        <f t="shared" si="9"/>
        <v>0</v>
      </c>
      <c r="AU49" s="119">
        <f t="shared" si="10"/>
        <v>0.4272826220615551</v>
      </c>
      <c r="AV49" s="25"/>
      <c r="AW49" s="25"/>
      <c r="AX49" s="25"/>
      <c r="AY49" s="1"/>
      <c r="AZ49" s="137" t="s">
        <v>131</v>
      </c>
      <c r="BA49" s="22" t="s">
        <v>14</v>
      </c>
      <c r="BB49" s="148" t="s">
        <v>125</v>
      </c>
      <c r="BC49" s="22" t="s">
        <v>14</v>
      </c>
      <c r="BD49" s="146" t="s">
        <v>169</v>
      </c>
      <c r="BE49" s="22" t="s">
        <v>14</v>
      </c>
      <c r="BF49" s="22" t="s">
        <v>14</v>
      </c>
      <c r="BG49" s="22" t="s">
        <v>14</v>
      </c>
      <c r="BH49" s="22" t="s">
        <v>14</v>
      </c>
      <c r="BI49" s="22" t="s">
        <v>14</v>
      </c>
      <c r="BJ49" s="22" t="s">
        <v>14</v>
      </c>
      <c r="BK49" s="22" t="s">
        <v>14</v>
      </c>
      <c r="BL49" s="22" t="s">
        <v>14</v>
      </c>
      <c r="BM49" s="22" t="s">
        <v>14</v>
      </c>
      <c r="BN49" s="22" t="s">
        <v>14</v>
      </c>
      <c r="BO49" s="22" t="s">
        <v>14</v>
      </c>
      <c r="BP49" s="22" t="s">
        <v>14</v>
      </c>
      <c r="BQ49" s="22" t="s">
        <v>14</v>
      </c>
      <c r="BR49" s="22" t="s">
        <v>14</v>
      </c>
      <c r="BS49" s="22" t="s">
        <v>14</v>
      </c>
      <c r="BT49" s="22" t="s">
        <v>14</v>
      </c>
      <c r="BU49" s="22" t="s">
        <v>14</v>
      </c>
      <c r="BV49" s="22" t="s">
        <v>14</v>
      </c>
      <c r="BW49" s="22" t="s">
        <v>14</v>
      </c>
      <c r="BX49" s="22" t="s">
        <v>14</v>
      </c>
      <c r="BY49" s="22" t="s">
        <v>14</v>
      </c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ht="18">
      <c r="A50" s="6">
        <v>11</v>
      </c>
      <c r="B50" s="2">
        <f t="shared" ref="B50" si="18">IF(C50&gt;=B49*24,B49+1,B49)</f>
        <v>1</v>
      </c>
      <c r="C50" s="21">
        <f t="shared" ref="C50" si="19">D50/60</f>
        <v>2.4987890729835738</v>
      </c>
      <c r="D50" s="143">
        <f t="shared" si="1"/>
        <v>149.92734437901441</v>
      </c>
      <c r="E50" s="21" t="str" cm="1">
        <f t="array" ref="E50">_xlfn.IFS(D50=H49,"llegada_paciente",D50=J49,"fin_triage",D50=L49,"fin_espera_en_cola_odontologo",D50=N49,"fin_espera_en_cola_cirujano",D50=Q49,"fin-odontologo",D50=T49,"fin_cirujano",D50=V49,"fin_estirilizacion")</f>
        <v>llegada_paciente</v>
      </c>
      <c r="F50" s="2">
        <v>0.12</v>
      </c>
      <c r="G50" s="21">
        <f>-$G$33*LN(1-F50)</f>
        <v>3.8350011452965465</v>
      </c>
      <c r="H50" s="38">
        <f>D50+G50</f>
        <v>153.76234552431097</v>
      </c>
      <c r="I50" s="2" t="s">
        <v>14</v>
      </c>
      <c r="J50" s="39">
        <f>J49</f>
        <v>151.49194277535159</v>
      </c>
      <c r="K50" s="21" t="s">
        <v>14</v>
      </c>
      <c r="L50" s="38" t="s">
        <v>14</v>
      </c>
      <c r="M50" s="21" t="s">
        <v>14</v>
      </c>
      <c r="N50" s="38" t="s">
        <v>14</v>
      </c>
      <c r="O50" s="21" t="s">
        <v>14</v>
      </c>
      <c r="P50" s="21" t="s">
        <v>14</v>
      </c>
      <c r="Q50" s="38" t="s">
        <v>14</v>
      </c>
      <c r="R50" s="21" t="s">
        <v>14</v>
      </c>
      <c r="S50" s="21" t="s">
        <v>14</v>
      </c>
      <c r="T50" s="38">
        <f t="shared" si="14"/>
        <v>185.84559460227251</v>
      </c>
      <c r="U50" s="21" t="s">
        <v>14</v>
      </c>
      <c r="V50" s="38" t="s">
        <v>14</v>
      </c>
      <c r="W50" s="2" t="s">
        <v>33</v>
      </c>
      <c r="X50" s="2">
        <f>X49+1</f>
        <v>2</v>
      </c>
      <c r="Y50" s="2" t="s">
        <v>14</v>
      </c>
      <c r="Z50" s="21" t="s">
        <v>14</v>
      </c>
      <c r="AA50" s="2" t="s">
        <v>13</v>
      </c>
      <c r="AB50" s="2">
        <f>AB49</f>
        <v>0</v>
      </c>
      <c r="AC50" s="2">
        <f t="shared" si="13"/>
        <v>1</v>
      </c>
      <c r="AD50" s="2" t="s">
        <v>33</v>
      </c>
      <c r="AE50" s="2">
        <f>AE49</f>
        <v>0</v>
      </c>
      <c r="AF50" s="2">
        <f t="shared" si="12"/>
        <v>1</v>
      </c>
      <c r="AG50" s="1" t="str">
        <f t="shared" si="3"/>
        <v>NO</v>
      </c>
      <c r="AH50" s="128" t="s">
        <v>14</v>
      </c>
      <c r="AI50" s="122" t="str">
        <f t="shared" si="4"/>
        <v/>
      </c>
      <c r="AJ50" s="2">
        <f>AJ49+1</f>
        <v>6</v>
      </c>
      <c r="AK50" s="2">
        <v>0</v>
      </c>
      <c r="AL50" s="33">
        <f t="shared" si="5"/>
        <v>0</v>
      </c>
      <c r="AM50" s="23">
        <f t="shared" si="6"/>
        <v>1</v>
      </c>
      <c r="AN50" s="2">
        <f t="shared" si="15"/>
        <v>0</v>
      </c>
      <c r="AO50" s="118">
        <f t="shared" ref="AO50" si="20">IF(AM50=0,"-",AN50/AM50)</f>
        <v>0</v>
      </c>
      <c r="AP50" s="22">
        <f t="shared" si="2"/>
        <v>149.92734437901441</v>
      </c>
      <c r="AQ50" s="22">
        <f t="shared" si="16"/>
        <v>65.68174977674191</v>
      </c>
      <c r="AR50" s="1">
        <f t="shared" si="17"/>
        <v>0</v>
      </c>
      <c r="AS50" s="119">
        <f t="shared" ref="AS50" si="21">AQ50/AP50</f>
        <v>0.43809053010836557</v>
      </c>
      <c r="AT50" s="119">
        <f t="shared" ref="AT50" si="22">AR50/AP50</f>
        <v>0</v>
      </c>
      <c r="AU50" s="119">
        <f t="shared" ref="AU50" si="23">AS50+AT50</f>
        <v>0.43809053010836557</v>
      </c>
      <c r="AV50" s="25"/>
      <c r="AW50" s="25"/>
      <c r="AX50" s="25"/>
      <c r="AY50" s="1"/>
      <c r="AZ50" s="137" t="s">
        <v>131</v>
      </c>
      <c r="BA50" s="22" t="s">
        <v>14</v>
      </c>
      <c r="BB50" s="148" t="s">
        <v>125</v>
      </c>
      <c r="BC50" s="22" t="s">
        <v>14</v>
      </c>
      <c r="BD50" s="146" t="s">
        <v>169</v>
      </c>
      <c r="BE50" s="22" t="s">
        <v>14</v>
      </c>
      <c r="BF50" s="146" t="s">
        <v>169</v>
      </c>
      <c r="BG50" s="22" t="s">
        <v>14</v>
      </c>
      <c r="BH50" s="22" t="s">
        <v>14</v>
      </c>
      <c r="BI50" s="22" t="s">
        <v>14</v>
      </c>
      <c r="BJ50" s="22" t="s">
        <v>14</v>
      </c>
      <c r="BK50" s="22" t="s">
        <v>14</v>
      </c>
      <c r="BL50" s="22" t="s">
        <v>14</v>
      </c>
      <c r="BM50" s="22" t="s">
        <v>14</v>
      </c>
      <c r="BN50" s="22" t="s">
        <v>14</v>
      </c>
      <c r="BO50" s="22" t="s">
        <v>14</v>
      </c>
      <c r="BP50" s="22" t="s">
        <v>14</v>
      </c>
      <c r="BQ50" s="22" t="s">
        <v>14</v>
      </c>
      <c r="BR50" s="22" t="s">
        <v>14</v>
      </c>
      <c r="BS50" s="22" t="s">
        <v>14</v>
      </c>
      <c r="BT50" s="22" t="s">
        <v>14</v>
      </c>
      <c r="BU50" s="22" t="s">
        <v>14</v>
      </c>
      <c r="BV50" s="22" t="s">
        <v>14</v>
      </c>
      <c r="BW50" s="22" t="s">
        <v>14</v>
      </c>
      <c r="BX50" s="22" t="s">
        <v>14</v>
      </c>
      <c r="BY50" s="22" t="s">
        <v>14</v>
      </c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ht="18">
      <c r="A51" s="2">
        <v>12</v>
      </c>
      <c r="B51" s="2">
        <f t="shared" ref="B51" si="24">IF(C51&gt;=B50*24,B50+1,B50)</f>
        <v>1</v>
      </c>
      <c r="C51" s="21">
        <f t="shared" ref="C51" si="25">D51/60</f>
        <v>2.5248657129225265</v>
      </c>
      <c r="D51" s="39">
        <f t="shared" si="1"/>
        <v>151.49194277535159</v>
      </c>
      <c r="E51" s="21" t="str" cm="1">
        <f t="array" ref="E51">_xlfn.IFS(D51=H50,"llegada_paciente",D51=J50,"fin_triage",D51=L50,"fin_espera_en_cola_odontologo",D51=N50,"fin_espera_en_cola_cirujano",D51=Q50,"fin-odontologo",D51=T50,"fin_cirujano",D51=V50,"fin_estirilizacion")</f>
        <v>fin_triage</v>
      </c>
      <c r="F51" s="2" t="s">
        <v>14</v>
      </c>
      <c r="G51" s="21" t="s">
        <v>14</v>
      </c>
      <c r="H51" s="143">
        <f>H50</f>
        <v>153.76234552431097</v>
      </c>
      <c r="I51" s="21">
        <f>$J$33</f>
        <v>5</v>
      </c>
      <c r="J51" s="38">
        <f>D51+I51</f>
        <v>156.49194277535159</v>
      </c>
      <c r="K51" s="21" t="s">
        <v>14</v>
      </c>
      <c r="L51" s="38" t="s">
        <v>14</v>
      </c>
      <c r="M51" s="21">
        <f>$N$33</f>
        <v>30</v>
      </c>
      <c r="N51" s="38">
        <f>D51+M51</f>
        <v>181.49194277535159</v>
      </c>
      <c r="O51" s="21" t="s">
        <v>14</v>
      </c>
      <c r="P51" s="21" t="s">
        <v>14</v>
      </c>
      <c r="Q51" s="38" t="s">
        <v>14</v>
      </c>
      <c r="R51" s="21" t="s">
        <v>14</v>
      </c>
      <c r="S51" s="21" t="s">
        <v>14</v>
      </c>
      <c r="T51" s="38">
        <f t="shared" si="14"/>
        <v>185.84559460227251</v>
      </c>
      <c r="U51" s="21" t="s">
        <v>14</v>
      </c>
      <c r="V51" s="38" t="s">
        <v>14</v>
      </c>
      <c r="W51" s="2" t="s">
        <v>33</v>
      </c>
      <c r="X51" s="2">
        <f>X50-1</f>
        <v>1</v>
      </c>
      <c r="Y51" s="2">
        <v>0.98</v>
      </c>
      <c r="Z51" s="139" t="str">
        <f>LOOKUP(Y51,$D$2:$D$3,$A$2:$A$3)</f>
        <v>Cirujano</v>
      </c>
      <c r="AA51" s="2" t="s">
        <v>13</v>
      </c>
      <c r="AB51" s="2">
        <f>AB50</f>
        <v>0</v>
      </c>
      <c r="AC51" s="2">
        <f t="shared" si="13"/>
        <v>1</v>
      </c>
      <c r="AD51" s="2" t="s">
        <v>33</v>
      </c>
      <c r="AE51" s="2">
        <f>AE50+1</f>
        <v>1</v>
      </c>
      <c r="AF51" s="2">
        <f t="shared" si="12"/>
        <v>1</v>
      </c>
      <c r="AG51" s="2" t="str">
        <f t="shared" si="3"/>
        <v>NO</v>
      </c>
      <c r="AH51" s="128" t="s">
        <v>14</v>
      </c>
      <c r="AI51" s="122" t="str">
        <f t="shared" ref="AI51" si="26">IF(AH51="-","",LOOKUP(AH51,$D$6:$D$7,$A$6:$A$7))</f>
        <v/>
      </c>
      <c r="AJ51" s="2">
        <f>AJ50</f>
        <v>6</v>
      </c>
      <c r="AK51" s="2">
        <f t="shared" ref="AK51:AK52" si="27">AK50</f>
        <v>0</v>
      </c>
      <c r="AL51" s="33">
        <f t="shared" si="5"/>
        <v>0</v>
      </c>
      <c r="AM51" s="23">
        <f t="shared" si="6"/>
        <v>1</v>
      </c>
      <c r="AN51" s="2">
        <f t="shared" si="15"/>
        <v>0</v>
      </c>
      <c r="AO51" s="118">
        <f t="shared" ref="AO51" si="28">IF(AM51=0,"-",AN51/AM51)</f>
        <v>0</v>
      </c>
      <c r="AP51" s="22">
        <f t="shared" si="2"/>
        <v>151.49194277535159</v>
      </c>
      <c r="AQ51" s="22">
        <f t="shared" si="16"/>
        <v>67.246348173079085</v>
      </c>
      <c r="AR51" s="1">
        <f t="shared" si="17"/>
        <v>0</v>
      </c>
      <c r="AS51" s="119">
        <f t="shared" ref="AS51" si="29">AQ51/AP51</f>
        <v>0.44389389258014295</v>
      </c>
      <c r="AT51" s="119">
        <f t="shared" ref="AT51" si="30">AR51/AP51</f>
        <v>0</v>
      </c>
      <c r="AU51" s="119">
        <f t="shared" ref="AU51" si="31">AS51+AT51</f>
        <v>0.44389389258014295</v>
      </c>
      <c r="AV51" s="25"/>
      <c r="AW51" s="25"/>
      <c r="AX51" s="25"/>
      <c r="AY51" s="1"/>
      <c r="AZ51" s="137" t="s">
        <v>131</v>
      </c>
      <c r="BA51" s="22" t="s">
        <v>14</v>
      </c>
      <c r="BB51" s="149" t="s">
        <v>172</v>
      </c>
      <c r="BC51" s="22">
        <f>D51</f>
        <v>151.49194277535159</v>
      </c>
      <c r="BD51" s="148" t="s">
        <v>125</v>
      </c>
      <c r="BE51" s="22" t="s">
        <v>14</v>
      </c>
      <c r="BF51" s="146" t="s">
        <v>169</v>
      </c>
      <c r="BG51" s="22" t="s">
        <v>14</v>
      </c>
      <c r="BH51" s="22" t="s">
        <v>14</v>
      </c>
      <c r="BI51" s="22" t="s">
        <v>14</v>
      </c>
      <c r="BJ51" s="22" t="s">
        <v>14</v>
      </c>
      <c r="BK51" s="22" t="s">
        <v>14</v>
      </c>
      <c r="BL51" s="22" t="s">
        <v>14</v>
      </c>
      <c r="BM51" s="22" t="s">
        <v>14</v>
      </c>
      <c r="BN51" s="22" t="s">
        <v>14</v>
      </c>
      <c r="BO51" s="22" t="s">
        <v>14</v>
      </c>
      <c r="BP51" s="22" t="s">
        <v>14</v>
      </c>
      <c r="BQ51" s="22" t="s">
        <v>14</v>
      </c>
      <c r="BR51" s="22" t="s">
        <v>14</v>
      </c>
      <c r="BS51" s="22" t="s">
        <v>14</v>
      </c>
      <c r="BT51" s="22" t="s">
        <v>14</v>
      </c>
      <c r="BU51" s="22" t="s">
        <v>14</v>
      </c>
      <c r="BV51" s="22" t="s">
        <v>14</v>
      </c>
      <c r="BW51" s="22" t="s">
        <v>14</v>
      </c>
      <c r="BX51" s="22" t="s">
        <v>14</v>
      </c>
      <c r="BY51" s="22" t="s">
        <v>14</v>
      </c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ht="18">
      <c r="A52" s="6">
        <v>13</v>
      </c>
      <c r="B52" s="2">
        <f t="shared" ref="B52:B53" si="32">IF(C52&gt;=B51*24,B51+1,B51)</f>
        <v>1</v>
      </c>
      <c r="C52" s="21">
        <f t="shared" ref="C52:C53" si="33">D52/60</f>
        <v>2.5627057587385162</v>
      </c>
      <c r="D52" s="143">
        <f t="shared" ref="D52" si="34">MIN(H51,J51,L51,N51,Q51,T51,V51)</f>
        <v>153.76234552431097</v>
      </c>
      <c r="E52" s="21" t="str" cm="1">
        <f t="array" ref="E52">_xlfn.IFS(D52=H51,"llegada_paciente",D52=J51,"fin_triage",D52=L51,"fin_espera_en_cola_odontologo",D52=N51,"fin_espera_en_cola_cirujano",D52=Q51,"fin-odontologo",D52=T51,"fin_cirujano",D52=V51,"fin_estirilizacion")</f>
        <v>llegada_paciente</v>
      </c>
      <c r="F52" s="2">
        <v>0.26</v>
      </c>
      <c r="G52" s="21">
        <f>-$G$33*LN(1-F52)</f>
        <v>9.0331527835176484</v>
      </c>
      <c r="H52" s="38">
        <f>D52+G52</f>
        <v>162.79549830782861</v>
      </c>
      <c r="I52" s="2" t="s">
        <v>14</v>
      </c>
      <c r="J52" s="39">
        <f>J51</f>
        <v>156.49194277535159</v>
      </c>
      <c r="K52" s="21" t="s">
        <v>14</v>
      </c>
      <c r="L52" s="38" t="s">
        <v>14</v>
      </c>
      <c r="M52" s="21" t="s">
        <v>14</v>
      </c>
      <c r="N52" s="38">
        <f>N51</f>
        <v>181.49194277535159</v>
      </c>
      <c r="O52" s="21" t="s">
        <v>14</v>
      </c>
      <c r="P52" s="21" t="s">
        <v>14</v>
      </c>
      <c r="Q52" s="38" t="s">
        <v>14</v>
      </c>
      <c r="R52" s="21" t="s">
        <v>14</v>
      </c>
      <c r="S52" s="21" t="s">
        <v>14</v>
      </c>
      <c r="T52" s="38">
        <f t="shared" si="14"/>
        <v>185.84559460227251</v>
      </c>
      <c r="U52" s="21" t="s">
        <v>14</v>
      </c>
      <c r="V52" s="38" t="s">
        <v>14</v>
      </c>
      <c r="W52" s="2" t="s">
        <v>33</v>
      </c>
      <c r="X52" s="2">
        <f>X51+1</f>
        <v>2</v>
      </c>
      <c r="Y52" s="2" t="s">
        <v>14</v>
      </c>
      <c r="Z52" s="21" t="s">
        <v>14</v>
      </c>
      <c r="AA52" s="2" t="s">
        <v>13</v>
      </c>
      <c r="AB52" s="2">
        <f>AB51</f>
        <v>0</v>
      </c>
      <c r="AC52" s="2">
        <f t="shared" si="13"/>
        <v>1</v>
      </c>
      <c r="AD52" s="2" t="s">
        <v>33</v>
      </c>
      <c r="AE52" s="2">
        <f>AE51</f>
        <v>1</v>
      </c>
      <c r="AF52" s="2">
        <f t="shared" si="12"/>
        <v>1</v>
      </c>
      <c r="AG52" s="2" t="str">
        <f t="shared" si="3"/>
        <v>NO</v>
      </c>
      <c r="AH52" s="128" t="s">
        <v>14</v>
      </c>
      <c r="AI52" s="122" t="str">
        <f t="shared" ref="AI52" si="35">IF(AH52="-","",LOOKUP(AH52,$D$6:$D$7,$A$6:$A$7))</f>
        <v/>
      </c>
      <c r="AJ52" s="2">
        <f>AJ51+1</f>
        <v>7</v>
      </c>
      <c r="AK52" s="2">
        <f t="shared" si="27"/>
        <v>0</v>
      </c>
      <c r="AL52" s="33">
        <f t="shared" ref="AL52:AL53" si="36">IF(AJ52=0,"-",AK52/AJ52)</f>
        <v>0</v>
      </c>
      <c r="AM52" s="23">
        <f t="shared" si="6"/>
        <v>1</v>
      </c>
      <c r="AN52" s="2">
        <f t="shared" si="15"/>
        <v>0</v>
      </c>
      <c r="AO52" s="118">
        <f t="shared" ref="AO52" si="37">IF(AM52=0,"-",AN52/AM52)</f>
        <v>0</v>
      </c>
      <c r="AP52" s="22">
        <f t="shared" si="2"/>
        <v>153.76234552431097</v>
      </c>
      <c r="AQ52" s="22">
        <f t="shared" si="16"/>
        <v>69.516750922038469</v>
      </c>
      <c r="AR52" s="1">
        <f t="shared" si="17"/>
        <v>0</v>
      </c>
      <c r="AS52" s="119">
        <f t="shared" ref="AS52" si="38">AQ52/AP52</f>
        <v>0.45210516713305049</v>
      </c>
      <c r="AT52" s="119">
        <f t="shared" ref="AT52" si="39">AR52/AP52</f>
        <v>0</v>
      </c>
      <c r="AU52" s="119">
        <f t="shared" ref="AU52" si="40">AS52+AT52</f>
        <v>0.45210516713305049</v>
      </c>
      <c r="AV52" s="25"/>
      <c r="AW52" s="25"/>
      <c r="AX52" s="25"/>
      <c r="AY52" s="1"/>
      <c r="AZ52" s="137" t="s">
        <v>131</v>
      </c>
      <c r="BA52" s="22" t="s">
        <v>14</v>
      </c>
      <c r="BB52" s="149" t="s">
        <v>172</v>
      </c>
      <c r="BC52" s="22">
        <f>BC51</f>
        <v>151.49194277535159</v>
      </c>
      <c r="BD52" s="148" t="s">
        <v>125</v>
      </c>
      <c r="BE52" s="22" t="s">
        <v>14</v>
      </c>
      <c r="BF52" s="146" t="s">
        <v>169</v>
      </c>
      <c r="BG52" s="22" t="s">
        <v>14</v>
      </c>
      <c r="BH52" s="146" t="s">
        <v>169</v>
      </c>
      <c r="BI52" s="22" t="s">
        <v>14</v>
      </c>
      <c r="BJ52" s="22" t="s">
        <v>14</v>
      </c>
      <c r="BK52" s="22" t="s">
        <v>14</v>
      </c>
      <c r="BL52" s="22" t="s">
        <v>14</v>
      </c>
      <c r="BM52" s="22" t="s">
        <v>14</v>
      </c>
      <c r="BN52" s="22" t="s">
        <v>14</v>
      </c>
      <c r="BO52" s="22" t="s">
        <v>14</v>
      </c>
      <c r="BP52" s="22" t="s">
        <v>14</v>
      </c>
      <c r="BQ52" s="22" t="s">
        <v>14</v>
      </c>
      <c r="BR52" s="22" t="s">
        <v>14</v>
      </c>
      <c r="BS52" s="22" t="s">
        <v>14</v>
      </c>
      <c r="BT52" s="22" t="s">
        <v>14</v>
      </c>
      <c r="BU52" s="22" t="s">
        <v>14</v>
      </c>
      <c r="BV52" s="22" t="s">
        <v>14</v>
      </c>
      <c r="BW52" s="22" t="s">
        <v>14</v>
      </c>
      <c r="BX52" s="22" t="s">
        <v>14</v>
      </c>
      <c r="BY52" s="22" t="s">
        <v>14</v>
      </c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ht="18">
      <c r="A53" s="2">
        <v>14</v>
      </c>
      <c r="B53" s="2">
        <f t="shared" si="32"/>
        <v>1</v>
      </c>
      <c r="C53" s="21">
        <f t="shared" si="33"/>
        <v>2.60819904625586</v>
      </c>
      <c r="D53" s="39">
        <f t="shared" ref="D53" si="41">MIN(H52,J52,L52,N52,Q52,T52,V52)</f>
        <v>156.49194277535159</v>
      </c>
      <c r="E53" s="21" t="str" cm="1">
        <f t="array" ref="E53">_xlfn.IFS(D53=H52,"llegada_paciente",D53=J52,"fin_triage",D53=L52,"fin_espera_en_cola_odontologo",D53=N52,"fin_espera_en_cola_cirujano",D53=Q52,"fin-odontologo",D53=T52,"fin_cirujano",D53=V52,"fin_estirilizacion")</f>
        <v>fin_triage</v>
      </c>
      <c r="F53" s="2" t="s">
        <v>14</v>
      </c>
      <c r="G53" s="21" t="s">
        <v>14</v>
      </c>
      <c r="H53" s="38">
        <f>H52</f>
        <v>162.79549830782861</v>
      </c>
      <c r="I53" s="21">
        <f>$J$33</f>
        <v>5</v>
      </c>
      <c r="J53" s="38">
        <f>D53+I53</f>
        <v>161.49194277535159</v>
      </c>
      <c r="K53" s="21" t="s">
        <v>14</v>
      </c>
      <c r="L53" s="38" t="s">
        <v>14</v>
      </c>
      <c r="M53" s="21" t="s">
        <v>14</v>
      </c>
      <c r="N53" s="38">
        <f>N52</f>
        <v>181.49194277535159</v>
      </c>
      <c r="O53" s="21" t="s">
        <v>14</v>
      </c>
      <c r="P53" s="21" t="s">
        <v>14</v>
      </c>
      <c r="Q53" s="38" t="s">
        <v>14</v>
      </c>
      <c r="R53" s="21" t="s">
        <v>14</v>
      </c>
      <c r="S53" s="21" t="s">
        <v>14</v>
      </c>
      <c r="T53" s="38">
        <f t="shared" si="14"/>
        <v>185.84559460227251</v>
      </c>
      <c r="U53" s="21" t="s">
        <v>14</v>
      </c>
      <c r="V53" s="38" t="s">
        <v>14</v>
      </c>
      <c r="W53" s="2" t="s">
        <v>33</v>
      </c>
      <c r="X53" s="2">
        <f>X52-1</f>
        <v>1</v>
      </c>
      <c r="Y53" s="2">
        <v>0.67</v>
      </c>
      <c r="Z53" s="140" t="str">
        <f>LOOKUP(Y53,$D$2:$D$3,$A$2:$A$3)</f>
        <v>Odontólogo</v>
      </c>
      <c r="AA53" s="2" t="s">
        <v>33</v>
      </c>
      <c r="AB53" s="2">
        <v>0</v>
      </c>
      <c r="AC53" s="2">
        <f>AC52+1</f>
        <v>2</v>
      </c>
      <c r="AD53" s="2" t="s">
        <v>33</v>
      </c>
      <c r="AE53" s="2">
        <f>AE52</f>
        <v>1</v>
      </c>
      <c r="AF53" s="2">
        <f t="shared" si="12"/>
        <v>1</v>
      </c>
      <c r="AG53" s="2" t="str">
        <f t="shared" si="3"/>
        <v>NO</v>
      </c>
      <c r="AH53" s="128" t="s">
        <v>14</v>
      </c>
      <c r="AI53" s="122" t="str">
        <f t="shared" ref="AI53" si="42">IF(AH53="-","",LOOKUP(AH53,$D$6:$D$7,$A$6:$A$7))</f>
        <v/>
      </c>
      <c r="AJ53" s="2">
        <f>AJ52</f>
        <v>7</v>
      </c>
      <c r="AK53" s="2">
        <f>AK52</f>
        <v>0</v>
      </c>
      <c r="AL53" s="33">
        <f t="shared" si="36"/>
        <v>0</v>
      </c>
      <c r="AM53" s="23">
        <f t="shared" si="6"/>
        <v>2</v>
      </c>
      <c r="AN53" s="2">
        <f t="shared" si="15"/>
        <v>0</v>
      </c>
      <c r="AO53" s="118">
        <f t="shared" ref="AO53" si="43">IF(AM53=0,"-",AN53/AM53)</f>
        <v>0</v>
      </c>
      <c r="AP53" s="22">
        <f t="shared" si="2"/>
        <v>156.49194277535159</v>
      </c>
      <c r="AQ53" s="22">
        <f t="shared" si="16"/>
        <v>72.246348173079085</v>
      </c>
      <c r="AR53" s="1">
        <f t="shared" si="17"/>
        <v>0</v>
      </c>
      <c r="AS53" s="119">
        <f t="shared" ref="AS53" si="44">AQ53/AP53</f>
        <v>0.46166177562758404</v>
      </c>
      <c r="AT53" s="119">
        <f t="shared" ref="AT53" si="45">AR53/AP53</f>
        <v>0</v>
      </c>
      <c r="AU53" s="119">
        <f t="shared" ref="AU53" si="46">AS53+AT53</f>
        <v>0.46166177562758404</v>
      </c>
      <c r="AV53" s="25"/>
      <c r="AW53" s="25"/>
      <c r="AX53" s="25"/>
      <c r="AY53" s="1"/>
      <c r="AZ53" s="137" t="s">
        <v>131</v>
      </c>
      <c r="BA53" s="22" t="s">
        <v>14</v>
      </c>
      <c r="BB53" s="149" t="s">
        <v>172</v>
      </c>
      <c r="BC53" s="22">
        <f>BC52</f>
        <v>151.49194277535159</v>
      </c>
      <c r="BD53" s="136" t="s">
        <v>19</v>
      </c>
      <c r="BE53" s="22" t="s">
        <v>14</v>
      </c>
      <c r="BF53" s="146" t="s">
        <v>169</v>
      </c>
      <c r="BG53" s="22" t="s">
        <v>14</v>
      </c>
      <c r="BH53" s="146" t="s">
        <v>169</v>
      </c>
      <c r="BI53" s="22" t="s">
        <v>14</v>
      </c>
      <c r="BJ53" s="22" t="s">
        <v>14</v>
      </c>
      <c r="BK53" s="22" t="s">
        <v>14</v>
      </c>
      <c r="BL53" s="22" t="s">
        <v>14</v>
      </c>
      <c r="BM53" s="22" t="s">
        <v>14</v>
      </c>
      <c r="BN53" s="22" t="s">
        <v>14</v>
      </c>
      <c r="BO53" s="22" t="s">
        <v>14</v>
      </c>
      <c r="BP53" s="22" t="s">
        <v>14</v>
      </c>
      <c r="BQ53" s="22" t="s">
        <v>14</v>
      </c>
      <c r="BR53" s="22" t="s">
        <v>14</v>
      </c>
      <c r="BS53" s="22" t="s">
        <v>14</v>
      </c>
      <c r="BT53" s="22" t="s">
        <v>14</v>
      </c>
      <c r="BU53" s="22" t="s">
        <v>14</v>
      </c>
      <c r="BV53" s="22" t="s">
        <v>14</v>
      </c>
      <c r="BW53" s="22" t="s">
        <v>14</v>
      </c>
      <c r="BX53" s="22" t="s">
        <v>14</v>
      </c>
      <c r="BY53" s="22" t="s">
        <v>14</v>
      </c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2"/>
      <c r="B54" s="2"/>
      <c r="C54" s="17"/>
      <c r="D54" s="17"/>
      <c r="E54" s="17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1"/>
      <c r="AP54" s="1"/>
      <c r="AQ54" s="1"/>
      <c r="AR54" s="1"/>
      <c r="AS54" s="1"/>
      <c r="AT54" s="1"/>
      <c r="AU54" s="1"/>
      <c r="AV54" s="25"/>
      <c r="AW54" s="25"/>
      <c r="AX54" s="25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2"/>
      <c r="B55" s="2"/>
      <c r="C55" s="17"/>
      <c r="D55" s="17"/>
      <c r="E55" s="1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1"/>
      <c r="AP55" s="1"/>
      <c r="AQ55" s="1"/>
      <c r="AR55" s="1"/>
      <c r="AS55" s="1"/>
      <c r="AT55" s="1"/>
      <c r="AU55" s="1"/>
      <c r="AV55" s="25"/>
      <c r="AW55" s="25"/>
      <c r="AX55" s="25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2"/>
      <c r="B56" s="2"/>
      <c r="C56" s="17"/>
      <c r="D56" s="17"/>
      <c r="E56" s="17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1"/>
      <c r="AP56" s="1"/>
      <c r="AQ56" s="1"/>
      <c r="AR56" s="1"/>
      <c r="AS56" s="1"/>
      <c r="AT56" s="1"/>
      <c r="AU56" s="1"/>
      <c r="AV56" s="25"/>
      <c r="AW56" s="25"/>
      <c r="AX56" s="25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>
      <c r="A57" s="2"/>
      <c r="B57" s="2"/>
      <c r="C57" s="17"/>
      <c r="D57" s="17"/>
      <c r="E57" s="17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1"/>
      <c r="AP57" s="1"/>
      <c r="AQ57" s="1"/>
      <c r="AR57" s="1"/>
      <c r="AS57" s="1"/>
      <c r="AT57" s="1"/>
      <c r="AU57" s="1"/>
      <c r="AV57" s="25"/>
      <c r="AW57" s="25"/>
      <c r="AX57" s="25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>
      <c r="A58" s="2"/>
      <c r="B58" s="2"/>
      <c r="C58" s="17"/>
      <c r="D58" s="17"/>
      <c r="E58" s="17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1"/>
      <c r="AP58" s="1"/>
      <c r="AQ58" s="1"/>
      <c r="AR58" s="1"/>
      <c r="AS58" s="1"/>
      <c r="AT58" s="1"/>
      <c r="AU58" s="1"/>
      <c r="AV58" s="25"/>
      <c r="AW58" s="25"/>
      <c r="AX58" s="25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>
      <c r="A59" s="2"/>
      <c r="B59" s="2"/>
      <c r="C59" s="17"/>
      <c r="D59" s="17"/>
      <c r="E59" s="17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1"/>
      <c r="AP59" s="1"/>
      <c r="AQ59" s="1"/>
      <c r="AR59" s="1"/>
      <c r="AS59" s="1"/>
      <c r="AT59" s="1"/>
      <c r="AU59" s="1"/>
      <c r="AV59" s="25"/>
      <c r="AW59" s="25"/>
      <c r="AX59" s="25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>
      <c r="A60" s="2"/>
      <c r="B60" s="2"/>
      <c r="C60" s="17"/>
      <c r="D60" s="17"/>
      <c r="E60" s="17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1"/>
      <c r="AP60" s="1"/>
      <c r="AQ60" s="1"/>
      <c r="AR60" s="1"/>
      <c r="AS60" s="1"/>
      <c r="AT60" s="1"/>
      <c r="AU60" s="1"/>
      <c r="AV60" s="25"/>
      <c r="AW60" s="25"/>
      <c r="AX60" s="25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>
      <c r="A61" s="2"/>
      <c r="B61" s="2"/>
      <c r="C61" s="17"/>
      <c r="D61" s="17"/>
      <c r="E61" s="17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1"/>
      <c r="AP61" s="1"/>
      <c r="AQ61" s="1"/>
      <c r="AR61" s="1"/>
      <c r="AS61" s="1"/>
      <c r="AT61" s="1"/>
      <c r="AU61" s="1"/>
      <c r="AV61" s="25"/>
      <c r="AW61" s="25"/>
      <c r="AX61" s="25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>
      <c r="A62" s="2"/>
      <c r="B62" s="2"/>
      <c r="C62" s="17"/>
      <c r="D62" s="17"/>
      <c r="E62" s="17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1"/>
      <c r="AP62" s="1"/>
      <c r="AQ62" s="1"/>
      <c r="AR62" s="1"/>
      <c r="AS62" s="1"/>
      <c r="AT62" s="1"/>
      <c r="AU62" s="1"/>
      <c r="AV62" s="25"/>
      <c r="AW62" s="25"/>
      <c r="AX62" s="25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>
      <c r="A63" s="2"/>
      <c r="B63" s="2"/>
      <c r="C63" s="17"/>
      <c r="D63" s="17"/>
      <c r="E63" s="17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1"/>
      <c r="AP63" s="1"/>
      <c r="AQ63" s="1"/>
      <c r="AR63" s="1"/>
      <c r="AS63" s="1"/>
      <c r="AT63" s="1"/>
      <c r="AU63" s="1"/>
      <c r="AV63" s="25"/>
      <c r="AW63" s="25"/>
      <c r="AX63" s="25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>
      <c r="A64" s="2"/>
      <c r="B64" s="2"/>
      <c r="C64" s="17"/>
      <c r="D64" s="17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1"/>
      <c r="AP64" s="1"/>
      <c r="AQ64" s="1"/>
      <c r="AR64" s="1"/>
      <c r="AS64" s="1"/>
      <c r="AT64" s="1"/>
      <c r="AU64" s="1"/>
      <c r="AV64" s="25"/>
      <c r="AW64" s="25"/>
      <c r="AX64" s="25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>
      <c r="A65" s="2"/>
      <c r="B65" s="2"/>
      <c r="C65" s="17"/>
      <c r="D65" s="17"/>
      <c r="E65" s="17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1"/>
      <c r="AP65" s="1"/>
      <c r="AQ65" s="1"/>
      <c r="AR65" s="1"/>
      <c r="AS65" s="1"/>
      <c r="AT65" s="1"/>
      <c r="AU65" s="1"/>
      <c r="AV65" s="25"/>
      <c r="AW65" s="25"/>
      <c r="AX65" s="25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>
      <c r="A66" s="2"/>
      <c r="B66" s="2"/>
      <c r="C66" s="17"/>
      <c r="D66" s="17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1"/>
      <c r="AP66" s="1"/>
      <c r="AQ66" s="1"/>
      <c r="AR66" s="1"/>
      <c r="AS66" s="1"/>
      <c r="AT66" s="1"/>
      <c r="AU66" s="1"/>
      <c r="AV66" s="25"/>
      <c r="AW66" s="25"/>
      <c r="AX66" s="25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>
      <c r="A67" s="2"/>
      <c r="B67" s="2"/>
      <c r="C67" s="17"/>
      <c r="D67" s="17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1"/>
      <c r="AP67" s="1"/>
      <c r="AQ67" s="1"/>
      <c r="AR67" s="1"/>
      <c r="AS67" s="1"/>
      <c r="AT67" s="1"/>
      <c r="AU67" s="1"/>
      <c r="AV67" s="25"/>
      <c r="AW67" s="25"/>
      <c r="AX67" s="25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>
      <c r="A68" s="2"/>
      <c r="B68" s="2"/>
      <c r="C68" s="17"/>
      <c r="D68" s="17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1"/>
      <c r="AP68" s="1"/>
      <c r="AQ68" s="1"/>
      <c r="AR68" s="1"/>
      <c r="AS68" s="1"/>
      <c r="AT68" s="1"/>
      <c r="AU68" s="1"/>
      <c r="AV68" s="25"/>
      <c r="AW68" s="25"/>
      <c r="AX68" s="25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>
      <c r="A69" s="2"/>
      <c r="B69" s="2"/>
      <c r="C69" s="17"/>
      <c r="D69" s="17"/>
      <c r="E69" s="17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1"/>
      <c r="AP69" s="1"/>
      <c r="AQ69" s="1"/>
      <c r="AR69" s="1"/>
      <c r="AS69" s="1"/>
      <c r="AT69" s="1"/>
      <c r="AU69" s="1"/>
      <c r="AV69" s="25"/>
      <c r="AW69" s="25"/>
      <c r="AX69" s="25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>
      <c r="A70" s="2"/>
      <c r="B70" s="2"/>
      <c r="C70" s="17"/>
      <c r="D70" s="17"/>
      <c r="E70" s="1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1"/>
      <c r="AP70" s="1"/>
      <c r="AQ70" s="1"/>
      <c r="AR70" s="1"/>
      <c r="AS70" s="1"/>
      <c r="AT70" s="1"/>
      <c r="AU70" s="1"/>
      <c r="AV70" s="25"/>
      <c r="AW70" s="25"/>
      <c r="AX70" s="25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>
      <c r="A71" s="2"/>
      <c r="B71" s="2"/>
      <c r="C71" s="17"/>
      <c r="D71" s="17"/>
      <c r="E71" s="1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1"/>
      <c r="AP71" s="1"/>
      <c r="AQ71" s="1"/>
      <c r="AR71" s="1"/>
      <c r="AS71" s="1"/>
      <c r="AT71" s="1"/>
      <c r="AU71" s="1"/>
      <c r="AV71" s="25"/>
      <c r="AW71" s="25"/>
      <c r="AX71" s="25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>
      <c r="A72" s="2"/>
      <c r="B72" s="2"/>
      <c r="C72" s="17"/>
      <c r="D72" s="17"/>
      <c r="E72" s="1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1"/>
      <c r="AP72" s="1"/>
      <c r="AQ72" s="1"/>
      <c r="AR72" s="1"/>
      <c r="AS72" s="1"/>
      <c r="AT72" s="1"/>
      <c r="AU72" s="1"/>
      <c r="AV72" s="25"/>
      <c r="AW72" s="25"/>
      <c r="AX72" s="25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>
      <c r="A73" s="2"/>
      <c r="B73" s="2"/>
      <c r="C73" s="17"/>
      <c r="D73" s="17"/>
      <c r="E73" s="1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1"/>
      <c r="AP73" s="1"/>
      <c r="AQ73" s="1"/>
      <c r="AR73" s="1"/>
      <c r="AS73" s="1"/>
      <c r="AT73" s="1"/>
      <c r="AU73" s="1"/>
      <c r="AV73" s="25"/>
      <c r="AW73" s="25"/>
      <c r="AX73" s="25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>
      <c r="A74" s="2"/>
      <c r="B74" s="2"/>
      <c r="C74" s="17"/>
      <c r="D74" s="17"/>
      <c r="E74" s="1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1"/>
      <c r="AP74" s="1"/>
      <c r="AQ74" s="1"/>
      <c r="AR74" s="1"/>
      <c r="AS74" s="1"/>
      <c r="AT74" s="1"/>
      <c r="AU74" s="1"/>
      <c r="AV74" s="25"/>
      <c r="AW74" s="25"/>
      <c r="AX74" s="25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>
      <c r="A75" s="2"/>
      <c r="B75" s="2"/>
      <c r="C75" s="17"/>
      <c r="D75" s="17"/>
      <c r="E75" s="1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1"/>
      <c r="AP75" s="1"/>
      <c r="AQ75" s="1"/>
      <c r="AR75" s="1"/>
      <c r="AS75" s="1"/>
      <c r="AT75" s="1"/>
      <c r="AU75" s="1"/>
      <c r="AV75" s="25"/>
      <c r="AW75" s="25"/>
      <c r="AX75" s="25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>
      <c r="A76" s="2"/>
      <c r="B76" s="2"/>
      <c r="C76" s="17"/>
      <c r="D76" s="17"/>
      <c r="E76" s="17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1"/>
      <c r="AP76" s="1"/>
      <c r="AQ76" s="1"/>
      <c r="AR76" s="1"/>
      <c r="AS76" s="1"/>
      <c r="AT76" s="1"/>
      <c r="AU76" s="1"/>
      <c r="AV76" s="25"/>
      <c r="AW76" s="25"/>
      <c r="AX76" s="25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>
      <c r="A77" s="2"/>
      <c r="B77" s="2"/>
      <c r="C77" s="17"/>
      <c r="D77" s="17"/>
      <c r="E77" s="17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1"/>
      <c r="AP77" s="1"/>
      <c r="AQ77" s="1"/>
      <c r="AR77" s="1"/>
      <c r="AS77" s="1"/>
      <c r="AT77" s="1"/>
      <c r="AU77" s="1"/>
      <c r="AV77" s="25"/>
      <c r="AW77" s="25"/>
      <c r="AX77" s="25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>
      <c r="A78" s="2"/>
      <c r="B78" s="2"/>
      <c r="C78" s="17"/>
      <c r="D78" s="17"/>
      <c r="E78" s="17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1"/>
      <c r="AP78" s="1"/>
      <c r="AQ78" s="1"/>
      <c r="AR78" s="1"/>
      <c r="AS78" s="1"/>
      <c r="AT78" s="1"/>
      <c r="AU78" s="1"/>
      <c r="AV78" s="25"/>
      <c r="AW78" s="25"/>
      <c r="AX78" s="25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>
      <c r="A79" s="2"/>
      <c r="B79" s="2"/>
      <c r="C79" s="17"/>
      <c r="D79" s="17"/>
      <c r="E79" s="1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1"/>
      <c r="AP79" s="1"/>
      <c r="AQ79" s="1"/>
      <c r="AR79" s="1"/>
      <c r="AS79" s="1"/>
      <c r="AT79" s="1"/>
      <c r="AU79" s="1"/>
      <c r="AV79" s="25"/>
      <c r="AW79" s="25"/>
      <c r="AX79" s="25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>
      <c r="A80" s="2"/>
      <c r="B80" s="2"/>
      <c r="C80" s="17"/>
      <c r="D80" s="17"/>
      <c r="E80" s="17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1"/>
      <c r="AP80" s="1"/>
      <c r="AQ80" s="1"/>
      <c r="AR80" s="1"/>
      <c r="AS80" s="1"/>
      <c r="AT80" s="1"/>
      <c r="AU80" s="1"/>
      <c r="AV80" s="25"/>
      <c r="AW80" s="25"/>
      <c r="AX80" s="25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>
      <c r="A81" s="2"/>
      <c r="B81" s="2"/>
      <c r="C81" s="17"/>
      <c r="D81" s="17"/>
      <c r="E81" s="17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1"/>
      <c r="AP81" s="1"/>
      <c r="AQ81" s="1"/>
      <c r="AR81" s="1"/>
      <c r="AS81" s="1"/>
      <c r="AT81" s="1"/>
      <c r="AU81" s="1"/>
      <c r="AV81" s="25"/>
      <c r="AW81" s="25"/>
      <c r="AX81" s="25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>
      <c r="A82" s="2"/>
      <c r="B82" s="2"/>
      <c r="C82" s="17"/>
      <c r="D82" s="17"/>
      <c r="E82" s="17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1"/>
      <c r="AP82" s="1"/>
      <c r="AQ82" s="1"/>
      <c r="AR82" s="1"/>
      <c r="AS82" s="1"/>
      <c r="AT82" s="1"/>
      <c r="AU82" s="1"/>
      <c r="AV82" s="25"/>
      <c r="AW82" s="25"/>
      <c r="AX82" s="25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>
      <c r="A83" s="2"/>
      <c r="B83" s="2"/>
      <c r="C83" s="17"/>
      <c r="D83" s="17"/>
      <c r="E83" s="1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1"/>
      <c r="AP83" s="1"/>
      <c r="AQ83" s="1"/>
      <c r="AR83" s="1"/>
      <c r="AS83" s="1"/>
      <c r="AT83" s="1"/>
      <c r="AU83" s="1"/>
      <c r="AV83" s="25"/>
      <c r="AW83" s="25"/>
      <c r="AX83" s="25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>
      <c r="A84" s="2"/>
      <c r="B84" s="2"/>
      <c r="C84" s="17"/>
      <c r="D84" s="17"/>
      <c r="E84" s="17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1"/>
      <c r="AP84" s="1"/>
      <c r="AQ84" s="1"/>
      <c r="AR84" s="1"/>
      <c r="AS84" s="1"/>
      <c r="AT84" s="1"/>
      <c r="AU84" s="1"/>
      <c r="AV84" s="25"/>
      <c r="AW84" s="25"/>
      <c r="AX84" s="25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:99">
      <c r="A85" s="2"/>
      <c r="B85" s="2"/>
      <c r="C85" s="17"/>
      <c r="D85" s="17"/>
      <c r="E85" s="17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1"/>
      <c r="AP85" s="1"/>
      <c r="AQ85" s="1"/>
      <c r="AR85" s="1"/>
      <c r="AS85" s="1"/>
      <c r="AT85" s="1"/>
      <c r="AU85" s="1"/>
      <c r="AV85" s="25"/>
      <c r="AW85" s="25"/>
      <c r="AX85" s="25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>
      <c r="A86" s="2"/>
      <c r="B86" s="2"/>
      <c r="C86" s="17"/>
      <c r="D86" s="17"/>
      <c r="E86" s="17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1"/>
      <c r="AP86" s="1"/>
      <c r="AQ86" s="1"/>
      <c r="AR86" s="1"/>
      <c r="AS86" s="1"/>
      <c r="AT86" s="1"/>
      <c r="AU86" s="1"/>
      <c r="AV86" s="25"/>
      <c r="AW86" s="25"/>
      <c r="AX86" s="25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:99">
      <c r="A87" s="2"/>
      <c r="B87" s="2"/>
      <c r="C87" s="17"/>
      <c r="D87" s="17"/>
      <c r="E87" s="1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1"/>
      <c r="AP87" s="1"/>
      <c r="AQ87" s="1"/>
      <c r="AR87" s="1"/>
      <c r="AS87" s="1"/>
      <c r="AT87" s="1"/>
      <c r="AU87" s="1"/>
      <c r="AV87" s="25"/>
      <c r="AW87" s="25"/>
      <c r="AX87" s="25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spans="1:99">
      <c r="A88" s="2"/>
      <c r="B88" s="2"/>
      <c r="C88" s="17"/>
      <c r="D88" s="17"/>
      <c r="E88" s="1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1"/>
      <c r="AP88" s="1"/>
      <c r="AQ88" s="1"/>
      <c r="AR88" s="1"/>
      <c r="AS88" s="1"/>
      <c r="AT88" s="1"/>
      <c r="AU88" s="1"/>
      <c r="AV88" s="25"/>
      <c r="AW88" s="25"/>
      <c r="AX88" s="25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 spans="1:99">
      <c r="A89" s="2"/>
      <c r="B89" s="2"/>
      <c r="C89" s="17"/>
      <c r="D89" s="17"/>
      <c r="E89" s="1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1"/>
      <c r="AP89" s="1"/>
      <c r="AQ89" s="1"/>
      <c r="AR89" s="1"/>
      <c r="AS89" s="1"/>
      <c r="AT89" s="1"/>
      <c r="AU89" s="1"/>
      <c r="AV89" s="25"/>
      <c r="AW89" s="25"/>
      <c r="AX89" s="25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 spans="1:99">
      <c r="A90" s="2"/>
      <c r="B90" s="2"/>
      <c r="C90" s="17"/>
      <c r="D90" s="17"/>
      <c r="E90" s="17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1"/>
      <c r="AP90" s="1"/>
      <c r="AQ90" s="1"/>
      <c r="AR90" s="1"/>
      <c r="AS90" s="1"/>
      <c r="AT90" s="1"/>
      <c r="AU90" s="1"/>
      <c r="AV90" s="25"/>
      <c r="AW90" s="25"/>
      <c r="AX90" s="25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 spans="1:99">
      <c r="A91" s="2"/>
      <c r="B91" s="2"/>
      <c r="C91" s="17"/>
      <c r="D91" s="17"/>
      <c r="E91" s="1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1"/>
      <c r="AP91" s="1"/>
      <c r="AQ91" s="1"/>
      <c r="AR91" s="1"/>
      <c r="AS91" s="1"/>
      <c r="AT91" s="1"/>
      <c r="AU91" s="1"/>
      <c r="AV91" s="25"/>
      <c r="AW91" s="25"/>
      <c r="AX91" s="25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 spans="1:99">
      <c r="A92" s="2"/>
      <c r="B92" s="2"/>
      <c r="C92" s="17"/>
      <c r="D92" s="17"/>
      <c r="E92" s="1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1"/>
      <c r="AP92" s="1"/>
      <c r="AQ92" s="1"/>
      <c r="AR92" s="1"/>
      <c r="AS92" s="1"/>
      <c r="AT92" s="1"/>
      <c r="AU92" s="1"/>
      <c r="AV92" s="25"/>
      <c r="AW92" s="25"/>
      <c r="AX92" s="25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 spans="1:99">
      <c r="A93" s="2"/>
      <c r="B93" s="2"/>
      <c r="C93" s="17"/>
      <c r="D93" s="17"/>
      <c r="E93" s="1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1"/>
      <c r="AP93" s="1"/>
      <c r="AQ93" s="1"/>
      <c r="AR93" s="1"/>
      <c r="AS93" s="1"/>
      <c r="AT93" s="1"/>
      <c r="AU93" s="1"/>
      <c r="AV93" s="25"/>
      <c r="AW93" s="25"/>
      <c r="AX93" s="25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 spans="1:99">
      <c r="A94" s="2"/>
      <c r="B94" s="2"/>
      <c r="C94" s="17"/>
      <c r="D94" s="17"/>
      <c r="E94" s="1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1"/>
      <c r="AP94" s="1"/>
      <c r="AQ94" s="1"/>
      <c r="AR94" s="1"/>
      <c r="AS94" s="1"/>
      <c r="AT94" s="1"/>
      <c r="AU94" s="1"/>
      <c r="AV94" s="25"/>
      <c r="AW94" s="25"/>
      <c r="AX94" s="25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 spans="1:99">
      <c r="A95" s="2"/>
      <c r="B95" s="2"/>
      <c r="C95" s="17"/>
      <c r="D95" s="17"/>
      <c r="E95" s="1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1"/>
      <c r="AP95" s="1"/>
      <c r="AQ95" s="1"/>
      <c r="AR95" s="1"/>
      <c r="AS95" s="1"/>
      <c r="AT95" s="1"/>
      <c r="AU95" s="1"/>
      <c r="AV95" s="25"/>
      <c r="AW95" s="25"/>
      <c r="AX95" s="25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 spans="1:99">
      <c r="A96" s="2"/>
      <c r="B96" s="2"/>
      <c r="C96" s="17"/>
      <c r="D96" s="17"/>
      <c r="E96" s="1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1"/>
      <c r="AP96" s="1"/>
      <c r="AQ96" s="1"/>
      <c r="AR96" s="1"/>
      <c r="AS96" s="1"/>
      <c r="AT96" s="1"/>
      <c r="AU96" s="1"/>
      <c r="AV96" s="25"/>
      <c r="AW96" s="25"/>
      <c r="AX96" s="25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</row>
    <row r="97" spans="1:99">
      <c r="A97" s="2"/>
      <c r="B97" s="2"/>
      <c r="C97" s="17"/>
      <c r="D97" s="17"/>
      <c r="E97" s="1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1"/>
      <c r="AP97" s="1"/>
      <c r="AQ97" s="1"/>
      <c r="AR97" s="1"/>
      <c r="AS97" s="1"/>
      <c r="AT97" s="1"/>
      <c r="AU97" s="1"/>
      <c r="AV97" s="25"/>
      <c r="AW97" s="25"/>
      <c r="AX97" s="25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</row>
    <row r="98" spans="1:99">
      <c r="A98" s="2"/>
      <c r="B98" s="2"/>
      <c r="C98" s="17"/>
      <c r="D98" s="17"/>
      <c r="E98" s="1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1"/>
      <c r="AP98" s="1"/>
      <c r="AQ98" s="1"/>
      <c r="AR98" s="1"/>
      <c r="AS98" s="1"/>
      <c r="AT98" s="1"/>
      <c r="AU98" s="1"/>
      <c r="AV98" s="25"/>
      <c r="AW98" s="25"/>
      <c r="AX98" s="25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</row>
    <row r="99" spans="1:99">
      <c r="A99" s="2"/>
      <c r="B99" s="2"/>
      <c r="C99" s="17"/>
      <c r="D99" s="17"/>
      <c r="E99" s="17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1"/>
      <c r="AP99" s="1"/>
      <c r="AQ99" s="1"/>
      <c r="AR99" s="1"/>
      <c r="AS99" s="1"/>
      <c r="AT99" s="1"/>
      <c r="AU99" s="1"/>
      <c r="AV99" s="25"/>
      <c r="AW99" s="25"/>
      <c r="AX99" s="25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</row>
    <row r="100" spans="1:99">
      <c r="A100" s="2"/>
      <c r="B100" s="2"/>
      <c r="C100" s="17"/>
      <c r="D100" s="17"/>
      <c r="E100" s="17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1"/>
      <c r="AP100" s="1"/>
      <c r="AQ100" s="1"/>
      <c r="AR100" s="1"/>
      <c r="AS100" s="1"/>
      <c r="AT100" s="1"/>
      <c r="AU100" s="1"/>
      <c r="AV100" s="25"/>
      <c r="AW100" s="25"/>
      <c r="AX100" s="25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</row>
    <row r="101" spans="1:99">
      <c r="A101" s="2"/>
      <c r="B101" s="2"/>
      <c r="C101" s="17"/>
      <c r="D101" s="17"/>
      <c r="E101" s="1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1"/>
      <c r="AP101" s="1"/>
      <c r="AQ101" s="1"/>
      <c r="AR101" s="1"/>
      <c r="AS101" s="1"/>
      <c r="AT101" s="1"/>
      <c r="AU101" s="1"/>
      <c r="AV101" s="25"/>
      <c r="AW101" s="25"/>
      <c r="AX101" s="25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</row>
    <row r="102" spans="1:99">
      <c r="A102" s="2"/>
      <c r="B102" s="2"/>
      <c r="C102" s="17"/>
      <c r="D102" s="17"/>
      <c r="E102" s="1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1"/>
      <c r="AP102" s="1"/>
      <c r="AQ102" s="1"/>
      <c r="AR102" s="1"/>
      <c r="AS102" s="1"/>
      <c r="AT102" s="1"/>
      <c r="AU102" s="1"/>
      <c r="AV102" s="25"/>
      <c r="AW102" s="25"/>
      <c r="AX102" s="25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</row>
    <row r="103" spans="1:99">
      <c r="A103" s="2"/>
      <c r="B103" s="2"/>
      <c r="C103" s="17"/>
      <c r="D103" s="17"/>
      <c r="E103" s="1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1"/>
      <c r="AP103" s="1"/>
      <c r="AQ103" s="1"/>
      <c r="AR103" s="1"/>
      <c r="AS103" s="1"/>
      <c r="AT103" s="1"/>
      <c r="AU103" s="1"/>
      <c r="AV103" s="25"/>
      <c r="AW103" s="25"/>
      <c r="AX103" s="25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</row>
    <row r="104" spans="1:99">
      <c r="A104" s="2"/>
      <c r="B104" s="2"/>
      <c r="C104" s="17"/>
      <c r="D104" s="17"/>
      <c r="E104" s="1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1"/>
      <c r="AP104" s="1"/>
      <c r="AQ104" s="1"/>
      <c r="AR104" s="1"/>
      <c r="AS104" s="1"/>
      <c r="AT104" s="1"/>
      <c r="AU104" s="1"/>
      <c r="AV104" s="25"/>
      <c r="AW104" s="25"/>
      <c r="AX104" s="25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</row>
    <row r="105" spans="1:99">
      <c r="A105" s="2"/>
      <c r="B105" s="2"/>
      <c r="C105" s="17"/>
      <c r="D105" s="17"/>
      <c r="E105" s="1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1"/>
      <c r="AP105" s="1"/>
      <c r="AQ105" s="1"/>
      <c r="AR105" s="1"/>
      <c r="AS105" s="1"/>
      <c r="AT105" s="1"/>
      <c r="AU105" s="1"/>
      <c r="AV105" s="25"/>
      <c r="AW105" s="25"/>
      <c r="AX105" s="25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</row>
    <row r="106" spans="1:99">
      <c r="A106" s="2"/>
      <c r="B106" s="2"/>
      <c r="C106" s="17"/>
      <c r="D106" s="17"/>
      <c r="E106" s="1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1"/>
      <c r="AP106" s="1"/>
      <c r="AQ106" s="1"/>
      <c r="AR106" s="1"/>
      <c r="AS106" s="1"/>
      <c r="AT106" s="1"/>
      <c r="AU106" s="1"/>
      <c r="AV106" s="25"/>
      <c r="AW106" s="25"/>
      <c r="AX106" s="25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</row>
    <row r="107" spans="1:99">
      <c r="A107" s="3"/>
      <c r="B107" s="3"/>
      <c r="C107" s="20"/>
      <c r="D107" s="20"/>
      <c r="E107" s="2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spans="1:99">
      <c r="A108" s="3"/>
      <c r="B108" s="3"/>
      <c r="C108" s="20"/>
      <c r="D108" s="20"/>
      <c r="E108" s="2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</sheetData>
  <mergeCells count="67">
    <mergeCell ref="BP37:BQ37"/>
    <mergeCell ref="AD36:AG37"/>
    <mergeCell ref="AT36:AT38"/>
    <mergeCell ref="AU36:AU38"/>
    <mergeCell ref="F32:H32"/>
    <mergeCell ref="I32:J32"/>
    <mergeCell ref="F33:F34"/>
    <mergeCell ref="G33:G34"/>
    <mergeCell ref="I33:I34"/>
    <mergeCell ref="J33:J34"/>
    <mergeCell ref="K32:L32"/>
    <mergeCell ref="L33:L34"/>
    <mergeCell ref="K33:K34"/>
    <mergeCell ref="M32:N32"/>
    <mergeCell ref="M33:M34"/>
    <mergeCell ref="N33:N34"/>
    <mergeCell ref="O32:Q32"/>
    <mergeCell ref="AP36:AP38"/>
    <mergeCell ref="O33:O34"/>
    <mergeCell ref="AQ36:AQ38"/>
    <mergeCell ref="AS36:AS38"/>
    <mergeCell ref="W36:X37"/>
    <mergeCell ref="AA36:AC37"/>
    <mergeCell ref="Y36:Z37"/>
    <mergeCell ref="AH36:AI37"/>
    <mergeCell ref="AN36:AN38"/>
    <mergeCell ref="AO36:AO38"/>
    <mergeCell ref="AV36:BY36"/>
    <mergeCell ref="AV30:BY30"/>
    <mergeCell ref="AV37:AW37"/>
    <mergeCell ref="AX37:AY37"/>
    <mergeCell ref="AZ37:BA37"/>
    <mergeCell ref="BB37:BC37"/>
    <mergeCell ref="BD37:BE37"/>
    <mergeCell ref="BF37:BG37"/>
    <mergeCell ref="BR37:BS37"/>
    <mergeCell ref="BT37:BU37"/>
    <mergeCell ref="BV37:BW37"/>
    <mergeCell ref="BX37:BY37"/>
    <mergeCell ref="BH37:BI37"/>
    <mergeCell ref="BJ37:BK37"/>
    <mergeCell ref="BL37:BM37"/>
    <mergeCell ref="BN37:BO37"/>
    <mergeCell ref="B30:D30"/>
    <mergeCell ref="E36:E38"/>
    <mergeCell ref="C36:C38"/>
    <mergeCell ref="AL36:AL38"/>
    <mergeCell ref="AM36:AM38"/>
    <mergeCell ref="AJ30:AR30"/>
    <mergeCell ref="AR36:AR38"/>
    <mergeCell ref="W30:AI30"/>
    <mergeCell ref="P33:P34"/>
    <mergeCell ref="R36:T37"/>
    <mergeCell ref="U36:V37"/>
    <mergeCell ref="E30:V30"/>
    <mergeCell ref="K36:L37"/>
    <mergeCell ref="M36:N37"/>
    <mergeCell ref="R32:T32"/>
    <mergeCell ref="U32:V32"/>
    <mergeCell ref="A36:A38"/>
    <mergeCell ref="AJ36:AJ38"/>
    <mergeCell ref="AK36:AK38"/>
    <mergeCell ref="F36:H37"/>
    <mergeCell ref="I36:J37"/>
    <mergeCell ref="O36:Q37"/>
    <mergeCell ref="B36:B38"/>
    <mergeCell ref="D36:D38"/>
  </mergeCells>
  <pageMargins left="0.25" right="0.25" top="0.75" bottom="0.75" header="0.3" footer="0.3"/>
  <pageSetup scale="1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TP4 - GRUPO 16</vt:lpstr>
      <vt:lpstr>DEFINICIONES DEL SISTEMA</vt:lpstr>
      <vt:lpstr>SIMULACIÓN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Tacca</dc:creator>
  <cp:lastModifiedBy>Franco Tacca</cp:lastModifiedBy>
  <cp:lastPrinted>2026-05-15T12:24:50Z</cp:lastPrinted>
  <dcterms:created xsi:type="dcterms:W3CDTF">2025-05-30T20:06:25Z</dcterms:created>
  <dcterms:modified xsi:type="dcterms:W3CDTF">2026-05-15T12:34:43Z</dcterms:modified>
</cp:coreProperties>
</file>